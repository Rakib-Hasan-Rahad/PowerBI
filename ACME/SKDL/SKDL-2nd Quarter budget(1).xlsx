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kdl data analy\"/>
    </mc:Choice>
  </mc:AlternateContent>
  <bookViews>
    <workbookView xWindow="0" yWindow="0" windowWidth="23040" windowHeight="9072" activeTab="1"/>
  </bookViews>
  <sheets>
    <sheet name="Bud.IS - garments" sheetId="1" r:id="rId1"/>
    <sheet name="Inc_exp" sheetId="2" r:id="rId2"/>
    <sheet name="summary" sheetId="4" r:id="rId3"/>
  </sheets>
  <definedNames>
    <definedName name="_xlnm.Print_Area" localSheetId="0">'Bud.IS - garments'!$A$1:$I$62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1" i="1" l="1"/>
  <c r="K80" i="1"/>
  <c r="G79" i="1"/>
  <c r="D79" i="1"/>
  <c r="L78" i="1"/>
  <c r="L80" i="1" s="1"/>
  <c r="D78" i="1"/>
  <c r="H46" i="1"/>
  <c r="H45" i="1"/>
  <c r="H48" i="1" s="1"/>
  <c r="H41" i="1"/>
  <c r="F39" i="1"/>
  <c r="B39" i="1"/>
  <c r="H38" i="1"/>
  <c r="F38" i="1"/>
  <c r="D38" i="1"/>
  <c r="B38" i="1"/>
  <c r="H37" i="1"/>
  <c r="H36" i="1"/>
  <c r="H39" i="1" s="1"/>
  <c r="H32" i="1"/>
  <c r="G32" i="1"/>
  <c r="F33" i="1"/>
  <c r="D33" i="1"/>
  <c r="H30" i="1"/>
  <c r="G26" i="1"/>
  <c r="H26" i="1"/>
  <c r="G25" i="1"/>
  <c r="H25" i="1"/>
  <c r="G24" i="1"/>
  <c r="G23" i="1"/>
  <c r="H23" i="1"/>
  <c r="G22" i="1"/>
  <c r="H22" i="1"/>
  <c r="G21" i="1"/>
  <c r="G20" i="1"/>
  <c r="H20" i="1"/>
  <c r="H19" i="1"/>
  <c r="F27" i="1"/>
  <c r="D27" i="1"/>
  <c r="F15" i="1"/>
  <c r="G36" i="1" s="1"/>
  <c r="H14" i="1"/>
  <c r="H13" i="1"/>
  <c r="B15" i="1"/>
  <c r="B8" i="1"/>
  <c r="C7" i="1" s="1"/>
  <c r="H7" i="1"/>
  <c r="G7" i="1"/>
  <c r="F8" i="1"/>
  <c r="F9" i="1" s="1"/>
  <c r="D8" i="1"/>
  <c r="E7" i="1" s="1"/>
  <c r="C6" i="1"/>
  <c r="C8" i="1" s="1"/>
  <c r="E22" i="1" l="1"/>
  <c r="E26" i="1"/>
  <c r="C41" i="1"/>
  <c r="C36" i="1"/>
  <c r="C39" i="1" s="1"/>
  <c r="E19" i="1"/>
  <c r="C24" i="1"/>
  <c r="C17" i="1"/>
  <c r="C38" i="1"/>
  <c r="C18" i="1"/>
  <c r="E18" i="1"/>
  <c r="E21" i="1"/>
  <c r="C21" i="1"/>
  <c r="C32" i="1"/>
  <c r="C31" i="1"/>
  <c r="C14" i="1"/>
  <c r="C25" i="1"/>
  <c r="C37" i="1"/>
  <c r="C13" i="1"/>
  <c r="C20" i="1"/>
  <c r="G38" i="1"/>
  <c r="G41" i="1"/>
  <c r="G17" i="1"/>
  <c r="B9" i="1"/>
  <c r="D15" i="1"/>
  <c r="E38" i="1" s="1"/>
  <c r="H17" i="1"/>
  <c r="C23" i="1"/>
  <c r="D9" i="1"/>
  <c r="H21" i="1"/>
  <c r="H24" i="1"/>
  <c r="C26" i="1"/>
  <c r="C30" i="1"/>
  <c r="G31" i="1"/>
  <c r="B33" i="1"/>
  <c r="H31" i="1"/>
  <c r="G13" i="1"/>
  <c r="C19" i="1"/>
  <c r="E30" i="1"/>
  <c r="G37" i="1"/>
  <c r="G39" i="1" s="1"/>
  <c r="E6" i="1"/>
  <c r="E8" i="1" s="1"/>
  <c r="C22" i="1"/>
  <c r="D39" i="1"/>
  <c r="G6" i="1"/>
  <c r="G8" i="1" s="1"/>
  <c r="C12" i="1"/>
  <c r="G30" i="1"/>
  <c r="G33" i="1" s="1"/>
  <c r="H6" i="1"/>
  <c r="G18" i="1"/>
  <c r="H18" i="1"/>
  <c r="B27" i="1"/>
  <c r="B28" i="1" s="1"/>
  <c r="B34" i="1" s="1"/>
  <c r="B40" i="1" s="1"/>
  <c r="B42" i="1" s="1"/>
  <c r="F28" i="1"/>
  <c r="F34" i="1" s="1"/>
  <c r="F40" i="1" s="1"/>
  <c r="F42" i="1" s="1"/>
  <c r="G12" i="1"/>
  <c r="G15" i="1" s="1"/>
  <c r="G14" i="1"/>
  <c r="G19" i="1"/>
  <c r="H12" i="1"/>
  <c r="E41" i="1" l="1"/>
  <c r="I18" i="1"/>
  <c r="H27" i="1"/>
  <c r="H44" i="1" s="1"/>
  <c r="H47" i="1" s="1"/>
  <c r="H8" i="1"/>
  <c r="I6" i="1" s="1"/>
  <c r="G28" i="1"/>
  <c r="G34" i="1" s="1"/>
  <c r="G40" i="1" s="1"/>
  <c r="G42" i="1" s="1"/>
  <c r="E33" i="1"/>
  <c r="G27" i="1"/>
  <c r="E17" i="1"/>
  <c r="E14" i="1"/>
  <c r="D28" i="1"/>
  <c r="D34" i="1" s="1"/>
  <c r="D40" i="1" s="1"/>
  <c r="D42" i="1" s="1"/>
  <c r="E37" i="1"/>
  <c r="E23" i="1"/>
  <c r="E13" i="1"/>
  <c r="E31" i="1"/>
  <c r="C15" i="1"/>
  <c r="C33" i="1"/>
  <c r="E24" i="1"/>
  <c r="E36" i="1"/>
  <c r="H15" i="1"/>
  <c r="H9" i="1"/>
  <c r="I12" i="1"/>
  <c r="I24" i="1"/>
  <c r="C27" i="1"/>
  <c r="H33" i="1"/>
  <c r="E12" i="1"/>
  <c r="E20" i="1"/>
  <c r="E32" i="1"/>
  <c r="E25" i="1"/>
  <c r="I15" i="1" l="1"/>
  <c r="E27" i="1"/>
  <c r="H28" i="1"/>
  <c r="H34" i="1" s="1"/>
  <c r="H40" i="1" s="1"/>
  <c r="H42" i="1" s="1"/>
  <c r="I14" i="1"/>
  <c r="I37" i="1"/>
  <c r="I32" i="1"/>
  <c r="I19" i="1"/>
  <c r="I26" i="1"/>
  <c r="I30" i="1"/>
  <c r="I20" i="1"/>
  <c r="I38" i="1"/>
  <c r="I41" i="1"/>
  <c r="I13" i="1"/>
  <c r="I25" i="1"/>
  <c r="I22" i="1"/>
  <c r="I23" i="1"/>
  <c r="I36" i="1"/>
  <c r="E39" i="1"/>
  <c r="C28" i="1"/>
  <c r="C34" i="1" s="1"/>
  <c r="C40" i="1" s="1"/>
  <c r="C42" i="1" s="1"/>
  <c r="I8" i="1"/>
  <c r="I7" i="1"/>
  <c r="E15" i="1"/>
  <c r="I31" i="1"/>
  <c r="I21" i="1"/>
  <c r="I17" i="1"/>
  <c r="I27" i="1" l="1"/>
  <c r="I28" i="1" s="1"/>
  <c r="I34" i="1" s="1"/>
  <c r="I40" i="1" s="1"/>
  <c r="I42" i="1" s="1"/>
  <c r="I33" i="1"/>
  <c r="E28" i="1"/>
  <c r="E34" i="1" s="1"/>
  <c r="E40" i="1" s="1"/>
  <c r="E42" i="1" s="1"/>
  <c r="I39" i="1"/>
</calcChain>
</file>

<file path=xl/sharedStrings.xml><?xml version="1.0" encoding="utf-8"?>
<sst xmlns="http://schemas.openxmlformats.org/spreadsheetml/2006/main" count="371" uniqueCount="69">
  <si>
    <t>Sinha Knit &amp; Denims Limited</t>
  </si>
  <si>
    <t>Con. Rate</t>
  </si>
  <si>
    <t>Production Budget Income Statement-Garments Unit</t>
  </si>
  <si>
    <t>For the period ended 2nd Quarter Budget 2025</t>
  </si>
  <si>
    <t>Particular</t>
  </si>
  <si>
    <t>Apr'25</t>
  </si>
  <si>
    <t>May'25</t>
  </si>
  <si>
    <t>Jun'25</t>
  </si>
  <si>
    <t>Total</t>
  </si>
  <si>
    <t>Quantity</t>
  </si>
  <si>
    <t>%</t>
  </si>
  <si>
    <t>Production(In-house)Qty-Pcs</t>
  </si>
  <si>
    <t>Production(Outside)Qty-Pcs</t>
  </si>
  <si>
    <t>Total Production Qty-Pcs</t>
  </si>
  <si>
    <t>Average Rate/Dzn</t>
  </si>
  <si>
    <t>Amount In BDT</t>
  </si>
  <si>
    <t>Operating Revenue:</t>
  </si>
  <si>
    <t>Amount</t>
  </si>
  <si>
    <t>Production Revenue AS Per CM</t>
  </si>
  <si>
    <t>Printing section</t>
  </si>
  <si>
    <t>EMB section</t>
  </si>
  <si>
    <t>Total Operating Revenue</t>
  </si>
  <si>
    <t>Manufacturing Expenses:</t>
  </si>
  <si>
    <t>Salary &amp; Wages</t>
  </si>
  <si>
    <t>Overtime</t>
  </si>
  <si>
    <t>Extra- Overtime</t>
  </si>
  <si>
    <t>Workers Benefit</t>
  </si>
  <si>
    <t>Utility Expense</t>
  </si>
  <si>
    <t>Sub-contract Expense</t>
  </si>
  <si>
    <t>Repair &amp; Maint. Machinery &amp; Utility</t>
  </si>
  <si>
    <t>Spare parts &amp; Needle</t>
  </si>
  <si>
    <t>Repair &amp; Maint. Building, Others</t>
  </si>
  <si>
    <t>Factory overhead others</t>
  </si>
  <si>
    <t>Total Manufacturing Expense</t>
  </si>
  <si>
    <t>Segmental Profit</t>
  </si>
  <si>
    <t>Un-allocated Operating Expenses:</t>
  </si>
  <si>
    <t>Administrative Overhead</t>
  </si>
  <si>
    <t>Selling &amp; Distribution Overhead</t>
  </si>
  <si>
    <t>R &amp; D and Marketing Expense</t>
  </si>
  <si>
    <t>Total Operating Expense</t>
  </si>
  <si>
    <t>Operating Profit</t>
  </si>
  <si>
    <t>Other Income:</t>
  </si>
  <si>
    <t>Cash Incentive</t>
  </si>
  <si>
    <t>BTB Save</t>
  </si>
  <si>
    <t>Leftover Sale</t>
  </si>
  <si>
    <t>Total Other Income</t>
  </si>
  <si>
    <t>Profit before Interest &amp; Tax</t>
  </si>
  <si>
    <t>Financial Expense</t>
  </si>
  <si>
    <t>Profit before Tax</t>
  </si>
  <si>
    <t>Total In-House Cost</t>
  </si>
  <si>
    <t>Total Produced Min</t>
  </si>
  <si>
    <t>Total Available Min</t>
  </si>
  <si>
    <t>Budgeted CPM</t>
  </si>
  <si>
    <t>Efficiency</t>
  </si>
  <si>
    <t>Manufacturing Expenses</t>
  </si>
  <si>
    <t>Description</t>
  </si>
  <si>
    <t>Un-allocated Operating Expenses</t>
  </si>
  <si>
    <t>Finance Type</t>
  </si>
  <si>
    <t>Expense</t>
  </si>
  <si>
    <t>Income</t>
  </si>
  <si>
    <t>Month</t>
  </si>
  <si>
    <t>April</t>
  </si>
  <si>
    <t>Operating Revenue</t>
  </si>
  <si>
    <t>Other Income</t>
  </si>
  <si>
    <t>May</t>
  </si>
  <si>
    <t>June</t>
  </si>
  <si>
    <t>Partucular</t>
  </si>
  <si>
    <t>Average Rate/Dzn( in dollars)</t>
  </si>
  <si>
    <t>Revenue/Income/Expense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</si>
</sst>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.5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2" applyNumberFormat="0" applyFont="0" applyAlignment="0" applyProtection="0"/>
  </cellStyleXfs>
  <cellXfs count="81">
    <xf numFmtId="0" fontId="0" fillId="0" borderId="0" xfId="0"/>
    <xf numFmtId="0" fontId="0" fillId="4" borderId="0" xfId="0" applyFill="1" applyAlignment="1">
      <alignment vertical="center"/>
    </xf>
    <xf numFmtId="0" fontId="5" fillId="0" borderId="1" xfId="4" applyFont="1" applyAlignment="1">
      <alignment vertical="center"/>
    </xf>
    <xf numFmtId="43" fontId="5" fillId="4" borderId="1" xfId="4" applyNumberFormat="1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3" borderId="2" xfId="5" applyFont="1" applyFill="1" applyAlignment="1">
      <alignment horizontal="center" vertical="center"/>
    </xf>
    <xf numFmtId="164" fontId="8" fillId="3" borderId="2" xfId="5" applyNumberFormat="1" applyFont="1" applyFill="1" applyAlignment="1">
      <alignment horizontal="center" vertical="center"/>
    </xf>
    <xf numFmtId="0" fontId="7" fillId="4" borderId="2" xfId="5" applyFont="1" applyFill="1" applyAlignment="1">
      <alignment vertical="center"/>
    </xf>
    <xf numFmtId="164" fontId="7" fillId="4" borderId="2" xfId="5" applyNumberFormat="1" applyFont="1" applyFill="1" applyAlignment="1">
      <alignment vertical="center"/>
    </xf>
    <xf numFmtId="9" fontId="7" fillId="4" borderId="2" xfId="3" applyFont="1" applyFill="1" applyBorder="1" applyAlignment="1">
      <alignment horizontal="center" vertical="center"/>
    </xf>
    <xf numFmtId="164" fontId="7" fillId="4" borderId="0" xfId="0" applyNumberFormat="1" applyFont="1" applyFill="1" applyAlignment="1">
      <alignment vertical="center"/>
    </xf>
    <xf numFmtId="164" fontId="9" fillId="4" borderId="0" xfId="1" applyNumberFormat="1" applyFont="1" applyFill="1" applyAlignment="1">
      <alignment vertical="center"/>
    </xf>
    <xf numFmtId="0" fontId="9" fillId="4" borderId="0" xfId="0" applyFont="1" applyFill="1" applyAlignment="1">
      <alignment vertical="center"/>
    </xf>
    <xf numFmtId="0" fontId="10" fillId="4" borderId="2" xfId="5" applyFont="1" applyFill="1" applyAlignment="1">
      <alignment vertical="center"/>
    </xf>
    <xf numFmtId="164" fontId="10" fillId="4" borderId="2" xfId="5" applyNumberFormat="1" applyFont="1" applyFill="1" applyAlignment="1">
      <alignment vertical="center"/>
    </xf>
    <xf numFmtId="9" fontId="10" fillId="4" borderId="2" xfId="3" applyFont="1" applyFill="1" applyBorder="1" applyAlignment="1">
      <alignment horizontal="center" vertical="center"/>
    </xf>
    <xf numFmtId="44" fontId="10" fillId="4" borderId="2" xfId="2" applyFont="1" applyFill="1" applyBorder="1" applyAlignment="1">
      <alignment vertical="center"/>
    </xf>
    <xf numFmtId="164" fontId="10" fillId="4" borderId="2" xfId="5" applyNumberFormat="1" applyFont="1" applyFill="1" applyAlignment="1">
      <alignment horizontal="center" vertical="center"/>
    </xf>
    <xf numFmtId="164" fontId="7" fillId="4" borderId="2" xfId="5" applyNumberFormat="1" applyFont="1" applyFill="1" applyAlignment="1">
      <alignment horizontal="center" vertical="center"/>
    </xf>
    <xf numFmtId="44" fontId="9" fillId="4" borderId="0" xfId="0" applyNumberFormat="1" applyFont="1" applyFill="1" applyAlignment="1">
      <alignment vertical="center"/>
    </xf>
    <xf numFmtId="43" fontId="9" fillId="4" borderId="0" xfId="0" applyNumberFormat="1" applyFont="1" applyFill="1" applyAlignment="1">
      <alignment vertical="center"/>
    </xf>
    <xf numFmtId="0" fontId="10" fillId="3" borderId="2" xfId="5" applyFont="1" applyFill="1" applyAlignment="1">
      <alignment horizontal="left" vertical="center"/>
    </xf>
    <xf numFmtId="164" fontId="10" fillId="3" borderId="2" xfId="5" applyNumberFormat="1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5" fontId="7" fillId="4" borderId="2" xfId="3" applyNumberFormat="1" applyFont="1" applyFill="1" applyBorder="1" applyAlignment="1">
      <alignment horizontal="center" vertical="center"/>
    </xf>
    <xf numFmtId="164" fontId="7" fillId="4" borderId="0" xfId="1" applyNumberFormat="1" applyFont="1" applyFill="1" applyAlignment="1">
      <alignment vertical="center"/>
    </xf>
    <xf numFmtId="164" fontId="7" fillId="0" borderId="2" xfId="5" applyNumberFormat="1" applyFont="1" applyFill="1" applyAlignment="1">
      <alignment vertical="center"/>
    </xf>
    <xf numFmtId="0" fontId="10" fillId="3" borderId="2" xfId="5" applyFont="1" applyFill="1" applyAlignment="1">
      <alignment vertical="center"/>
    </xf>
    <xf numFmtId="164" fontId="10" fillId="3" borderId="2" xfId="5" applyNumberFormat="1" applyFont="1" applyFill="1" applyAlignment="1">
      <alignment vertical="center"/>
    </xf>
    <xf numFmtId="9" fontId="10" fillId="3" borderId="2" xfId="3" applyFont="1" applyFill="1" applyBorder="1" applyAlignment="1">
      <alignment horizontal="center" vertical="center"/>
    </xf>
    <xf numFmtId="0" fontId="10" fillId="4" borderId="0" xfId="0" applyFont="1" applyFill="1" applyAlignment="1">
      <alignment vertical="center"/>
    </xf>
    <xf numFmtId="165" fontId="7" fillId="4" borderId="0" xfId="3" applyNumberFormat="1" applyFont="1" applyFill="1" applyAlignment="1">
      <alignment vertical="center"/>
    </xf>
    <xf numFmtId="9" fontId="7" fillId="4" borderId="0" xfId="3" applyFont="1" applyFill="1" applyAlignment="1">
      <alignment vertical="center"/>
    </xf>
    <xf numFmtId="0" fontId="1" fillId="4" borderId="2" xfId="5" applyFont="1" applyFill="1" applyAlignment="1">
      <alignment vertical="center"/>
    </xf>
    <xf numFmtId="164" fontId="7" fillId="4" borderId="6" xfId="1" applyNumberFormat="1" applyFont="1" applyFill="1" applyBorder="1" applyAlignment="1">
      <alignment vertical="center"/>
    </xf>
    <xf numFmtId="164" fontId="10" fillId="4" borderId="6" xfId="1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9" fontId="10" fillId="4" borderId="6" xfId="3" applyFont="1" applyFill="1" applyBorder="1" applyAlignment="1">
      <alignment horizontal="center" vertical="center"/>
    </xf>
    <xf numFmtId="0" fontId="7" fillId="4" borderId="6" xfId="1" applyNumberFormat="1" applyFont="1" applyFill="1" applyBorder="1" applyAlignment="1">
      <alignment vertical="center"/>
    </xf>
    <xf numFmtId="164" fontId="7" fillId="4" borderId="6" xfId="0" applyNumberFormat="1" applyFont="1" applyFill="1" applyBorder="1" applyAlignment="1">
      <alignment vertical="center"/>
    </xf>
    <xf numFmtId="165" fontId="10" fillId="3" borderId="2" xfId="3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vertical="center"/>
    </xf>
    <xf numFmtId="165" fontId="10" fillId="4" borderId="0" xfId="3" applyNumberFormat="1" applyFont="1" applyFill="1" applyAlignment="1">
      <alignment vertical="center"/>
    </xf>
    <xf numFmtId="164" fontId="10" fillId="4" borderId="0" xfId="1" applyNumberFormat="1" applyFont="1" applyFill="1" applyAlignment="1">
      <alignment vertical="center"/>
    </xf>
    <xf numFmtId="43" fontId="10" fillId="4" borderId="0" xfId="0" applyNumberFormat="1" applyFont="1" applyFill="1" applyAlignment="1">
      <alignment vertical="center"/>
    </xf>
    <xf numFmtId="0" fontId="11" fillId="3" borderId="2" xfId="5" applyFont="1" applyFill="1" applyAlignment="1">
      <alignment vertical="center"/>
    </xf>
    <xf numFmtId="165" fontId="10" fillId="3" borderId="2" xfId="5" applyNumberFormat="1" applyFont="1" applyFill="1" applyAlignment="1">
      <alignment vertical="center"/>
    </xf>
    <xf numFmtId="43" fontId="7" fillId="4" borderId="0" xfId="0" applyNumberFormat="1" applyFont="1" applyFill="1" applyAlignment="1">
      <alignment vertical="center"/>
    </xf>
    <xf numFmtId="164" fontId="0" fillId="4" borderId="0" xfId="1" applyNumberFormat="1" applyFont="1" applyFill="1" applyAlignment="1">
      <alignment vertical="center"/>
    </xf>
    <xf numFmtId="164" fontId="0" fillId="4" borderId="0" xfId="0" applyNumberFormat="1" applyFill="1" applyAlignment="1">
      <alignment vertical="center"/>
    </xf>
    <xf numFmtId="43" fontId="0" fillId="4" borderId="0" xfId="0" applyNumberForma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164" fontId="3" fillId="4" borderId="6" xfId="1" applyNumberFormat="1" applyFont="1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3" fillId="4" borderId="0" xfId="0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43" fontId="3" fillId="4" borderId="0" xfId="0" applyNumberFormat="1" applyFont="1" applyFill="1" applyAlignment="1">
      <alignment vertical="center"/>
    </xf>
    <xf numFmtId="43" fontId="3" fillId="4" borderId="6" xfId="1" applyFont="1" applyFill="1" applyBorder="1" applyAlignment="1">
      <alignment vertical="center"/>
    </xf>
    <xf numFmtId="166" fontId="0" fillId="4" borderId="0" xfId="0" applyNumberFormat="1" applyFill="1" applyAlignment="1">
      <alignment vertical="center"/>
    </xf>
    <xf numFmtId="0" fontId="3" fillId="4" borderId="6" xfId="0" applyFont="1" applyFill="1" applyBorder="1" applyAlignment="1">
      <alignment horizontal="left" vertical="center"/>
    </xf>
    <xf numFmtId="9" fontId="3" fillId="4" borderId="6" xfId="3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43" fontId="1" fillId="4" borderId="0" xfId="1" applyFont="1" applyFill="1" applyAlignment="1">
      <alignment vertical="center"/>
    </xf>
    <xf numFmtId="43" fontId="0" fillId="4" borderId="0" xfId="1" applyFont="1" applyFill="1" applyAlignment="1">
      <alignment vertical="center"/>
    </xf>
    <xf numFmtId="16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3" borderId="0" xfId="0" applyFill="1"/>
    <xf numFmtId="0" fontId="0" fillId="9" borderId="0" xfId="0" applyFill="1"/>
    <xf numFmtId="0" fontId="0" fillId="0" borderId="0" xfId="0" applyNumberFormat="1"/>
    <xf numFmtId="2" fontId="0" fillId="0" borderId="0" xfId="0" applyNumberFormat="1"/>
    <xf numFmtId="2" fontId="12" fillId="4" borderId="2" xfId="5" applyNumberFormat="1" applyFont="1" applyFill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4" fillId="3" borderId="2" xfId="5" applyFont="1" applyFill="1" applyAlignment="1">
      <alignment horizontal="center" vertical="center"/>
    </xf>
    <xf numFmtId="0" fontId="6" fillId="3" borderId="2" xfId="5" applyFont="1" applyFill="1" applyAlignment="1">
      <alignment horizontal="center" vertical="center"/>
    </xf>
    <xf numFmtId="0" fontId="8" fillId="3" borderId="2" xfId="5" applyFont="1" applyFill="1" applyAlignment="1">
      <alignment horizontal="center" vertical="center"/>
    </xf>
    <xf numFmtId="164" fontId="8" fillId="3" borderId="2" xfId="5" applyNumberFormat="1" applyFont="1" applyFill="1" applyAlignment="1">
      <alignment horizontal="center" vertical="center"/>
    </xf>
    <xf numFmtId="164" fontId="8" fillId="3" borderId="3" xfId="5" applyNumberFormat="1" applyFont="1" applyFill="1" applyBorder="1" applyAlignment="1">
      <alignment horizontal="center" vertical="center"/>
    </xf>
    <xf numFmtId="164" fontId="8" fillId="3" borderId="4" xfId="5" applyNumberFormat="1" applyFont="1" applyFill="1" applyBorder="1" applyAlignment="1">
      <alignment horizontal="center" vertical="center"/>
    </xf>
  </cellXfs>
  <cellStyles count="6">
    <cellStyle name="Comma" xfId="1" builtinId="3"/>
    <cellStyle name="Currency" xfId="2" builtinId="4"/>
    <cellStyle name="Linked Cell" xfId="4" builtinId="24"/>
    <cellStyle name="Normal" xfId="0" builtinId="0"/>
    <cellStyle name="Note" xfId="5" builtinId="1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48</xdr:row>
      <xdr:rowOff>219075</xdr:rowOff>
    </xdr:from>
    <xdr:to>
      <xdr:col>8</xdr:col>
      <xdr:colOff>342900</xdr:colOff>
      <xdr:row>63</xdr:row>
      <xdr:rowOff>0</xdr:rowOff>
    </xdr:to>
    <xdr:sp macro="" textlink="">
      <xdr:nvSpPr>
        <xdr:cNvPr id="2" name="AutoShape 2277">
          <a:extLst>
            <a:ext uri="{FF2B5EF4-FFF2-40B4-BE49-F238E27FC236}">
              <a16:creationId xmlns:a16="http://schemas.microsoft.com/office/drawing/2014/main" id="{703B9157-12B9-48B9-9BC8-37F9DBA11608}"/>
            </a:ext>
          </a:extLst>
        </xdr:cNvPr>
        <xdr:cNvSpPr>
          <a:spLocks noChangeAspect="1" noChangeArrowheads="1"/>
        </xdr:cNvSpPr>
      </xdr:nvSpPr>
      <xdr:spPr bwMode="auto">
        <a:xfrm>
          <a:off x="66675" y="9553575"/>
          <a:ext cx="786765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0</xdr:col>
      <xdr:colOff>104775</xdr:colOff>
      <xdr:row>48</xdr:row>
      <xdr:rowOff>152401</xdr:rowOff>
    </xdr:from>
    <xdr:to>
      <xdr:col>8</xdr:col>
      <xdr:colOff>542478</xdr:colOff>
      <xdr:row>64</xdr:row>
      <xdr:rowOff>57151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3C1330-2AEF-1947-8F26-00A726551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9515476"/>
          <a:ext cx="8029128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50800</xdr:rowOff>
    </xdr:from>
    <xdr:to>
      <xdr:col>8</xdr:col>
      <xdr:colOff>292100</xdr:colOff>
      <xdr:row>66</xdr:row>
      <xdr:rowOff>63500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23D0681-BB44-05D3-1FFB-0F0AD6748437}"/>
            </a:ext>
          </a:extLst>
        </xdr:cNvPr>
        <xdr:cNvSpPr>
          <a:spLocks noChangeAspect="1" noChangeArrowheads="1"/>
        </xdr:cNvSpPr>
      </xdr:nvSpPr>
      <xdr:spPr bwMode="auto">
        <a:xfrm>
          <a:off x="0" y="9404350"/>
          <a:ext cx="8242300" cy="332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1"/>
  <sheetViews>
    <sheetView topLeftCell="A3" zoomScaleNormal="100" zoomScaleSheetLayoutView="100" workbookViewId="0">
      <selection activeCell="F42" sqref="F42"/>
    </sheetView>
  </sheetViews>
  <sheetFormatPr defaultColWidth="9.19921875" defaultRowHeight="13.8"/>
  <cols>
    <col min="1" max="1" width="33" style="1" customWidth="1"/>
    <col min="2" max="2" width="14" style="1" bestFit="1" customWidth="1"/>
    <col min="3" max="3" width="8.296875" style="1" bestFit="1" customWidth="1"/>
    <col min="4" max="4" width="14" style="1" bestFit="1" customWidth="1"/>
    <col min="5" max="5" width="8.296875" style="1" bestFit="1" customWidth="1"/>
    <col min="6" max="6" width="14" style="1" bestFit="1" customWidth="1"/>
    <col min="7" max="7" width="8.296875" style="1" bestFit="1" customWidth="1"/>
    <col min="8" max="8" width="14" style="1" bestFit="1" customWidth="1"/>
    <col min="9" max="9" width="8.296875" style="1" bestFit="1" customWidth="1"/>
    <col min="10" max="10" width="12.69921875" style="1" bestFit="1" customWidth="1"/>
    <col min="11" max="11" width="12.69921875" style="1" customWidth="1"/>
    <col min="12" max="12" width="29.5" style="1" bestFit="1" customWidth="1"/>
    <col min="13" max="13" width="12.69921875" style="1" bestFit="1" customWidth="1"/>
    <col min="14" max="15" width="11.5" style="1" bestFit="1" customWidth="1"/>
    <col min="16" max="16" width="12.69921875" style="1" bestFit="1" customWidth="1"/>
    <col min="17" max="16384" width="9.19921875" style="1"/>
  </cols>
  <sheetData>
    <row r="1" spans="1:15" ht="20.25" customHeight="1" thickBot="1">
      <c r="A1" s="75" t="s">
        <v>0</v>
      </c>
      <c r="B1" s="75"/>
      <c r="C1" s="75"/>
      <c r="D1" s="75"/>
      <c r="E1" s="75"/>
      <c r="F1" s="75"/>
      <c r="G1" s="75"/>
      <c r="H1" s="75"/>
      <c r="I1" s="75"/>
      <c r="K1" s="2" t="s">
        <v>1</v>
      </c>
      <c r="L1" s="3">
        <v>110</v>
      </c>
    </row>
    <row r="2" spans="1:15" s="4" customFormat="1" ht="18" customHeight="1" thickTop="1">
      <c r="A2" s="76" t="s">
        <v>2</v>
      </c>
      <c r="B2" s="76"/>
      <c r="C2" s="76"/>
      <c r="D2" s="76"/>
      <c r="E2" s="76"/>
      <c r="F2" s="76"/>
      <c r="G2" s="76"/>
      <c r="H2" s="76"/>
      <c r="I2" s="76"/>
    </row>
    <row r="3" spans="1:15" s="4" customFormat="1" ht="18" customHeight="1">
      <c r="A3" s="76" t="s">
        <v>3</v>
      </c>
      <c r="B3" s="76"/>
      <c r="C3" s="76"/>
      <c r="D3" s="76"/>
      <c r="E3" s="76"/>
      <c r="F3" s="76"/>
      <c r="G3" s="76"/>
      <c r="H3" s="76"/>
      <c r="I3" s="76"/>
    </row>
    <row r="4" spans="1:15" ht="18" customHeight="1">
      <c r="A4" s="77" t="s">
        <v>4</v>
      </c>
      <c r="B4" s="78" t="s">
        <v>5</v>
      </c>
      <c r="C4" s="78"/>
      <c r="D4" s="79" t="s">
        <v>6</v>
      </c>
      <c r="E4" s="80"/>
      <c r="F4" s="78" t="s">
        <v>7</v>
      </c>
      <c r="G4" s="78"/>
      <c r="H4" s="78" t="s">
        <v>8</v>
      </c>
      <c r="I4" s="78"/>
    </row>
    <row r="5" spans="1:15" ht="18" customHeight="1">
      <c r="A5" s="77"/>
      <c r="B5" s="5" t="s">
        <v>9</v>
      </c>
      <c r="C5" s="6" t="s">
        <v>10</v>
      </c>
      <c r="D5" s="5" t="s">
        <v>9</v>
      </c>
      <c r="E5" s="6" t="s">
        <v>10</v>
      </c>
      <c r="F5" s="5" t="s">
        <v>9</v>
      </c>
      <c r="G5" s="6" t="s">
        <v>10</v>
      </c>
      <c r="H5" s="5" t="s">
        <v>9</v>
      </c>
      <c r="I5" s="6" t="s">
        <v>10</v>
      </c>
    </row>
    <row r="6" spans="1:15" s="12" customFormat="1" ht="18" customHeight="1">
      <c r="A6" s="7" t="s">
        <v>11</v>
      </c>
      <c r="B6" s="8">
        <v>675049</v>
      </c>
      <c r="C6" s="9">
        <f>B6/$B$8</f>
        <v>0.72440332278464037</v>
      </c>
      <c r="D6" s="8">
        <v>735495</v>
      </c>
      <c r="E6" s="9">
        <f>D6/$D$8</f>
        <v>0.87391532172303288</v>
      </c>
      <c r="F6" s="8">
        <v>708719</v>
      </c>
      <c r="G6" s="9">
        <f>F6/$F$8</f>
        <v>0.93409944920319643</v>
      </c>
      <c r="H6" s="8">
        <f>B6+D6+F6</f>
        <v>2119263</v>
      </c>
      <c r="I6" s="9">
        <f>H6/$H$8</f>
        <v>0.83692658983483514</v>
      </c>
      <c r="J6" s="10"/>
      <c r="K6" s="11"/>
      <c r="L6" s="11"/>
    </row>
    <row r="7" spans="1:15" s="12" customFormat="1" ht="18" customHeight="1">
      <c r="A7" s="7" t="s">
        <v>12</v>
      </c>
      <c r="B7" s="8">
        <v>256820</v>
      </c>
      <c r="C7" s="9">
        <f>B7/$B$8</f>
        <v>0.27559667721535969</v>
      </c>
      <c r="D7" s="8">
        <v>106114</v>
      </c>
      <c r="E7" s="9">
        <f>D7/$D$8</f>
        <v>0.12608467827696709</v>
      </c>
      <c r="F7" s="8">
        <v>50000</v>
      </c>
      <c r="G7" s="9">
        <f>F7/$F$8</f>
        <v>6.5900550796803556E-2</v>
      </c>
      <c r="H7" s="8">
        <f>B7+D7+F7</f>
        <v>412934</v>
      </c>
      <c r="I7" s="9">
        <f>H7/$H$8</f>
        <v>0.16307341016516488</v>
      </c>
      <c r="K7" s="11"/>
    </row>
    <row r="8" spans="1:15" s="12" customFormat="1" ht="18" customHeight="1">
      <c r="A8" s="13" t="s">
        <v>13</v>
      </c>
      <c r="B8" s="14">
        <f>B6+B7</f>
        <v>931869</v>
      </c>
      <c r="C8" s="15">
        <f t="shared" ref="C8:H8" si="0">C6+C7</f>
        <v>1</v>
      </c>
      <c r="D8" s="14">
        <f t="shared" si="0"/>
        <v>841609</v>
      </c>
      <c r="E8" s="15">
        <f t="shared" si="0"/>
        <v>1</v>
      </c>
      <c r="F8" s="14">
        <f t="shared" si="0"/>
        <v>758719</v>
      </c>
      <c r="G8" s="15">
        <f t="shared" si="0"/>
        <v>1</v>
      </c>
      <c r="H8" s="14">
        <f t="shared" si="0"/>
        <v>2532197</v>
      </c>
      <c r="I8" s="15">
        <f>H8/$H$8</f>
        <v>1</v>
      </c>
      <c r="J8" s="10"/>
      <c r="K8" s="11"/>
    </row>
    <row r="9" spans="1:15" s="12" customFormat="1" ht="18" customHeight="1">
      <c r="A9" s="13" t="s">
        <v>14</v>
      </c>
      <c r="B9" s="16">
        <f>B12/B8/$L$1*12</f>
        <v>14.757616961182311</v>
      </c>
      <c r="C9" s="17"/>
      <c r="D9" s="16">
        <f>D12/D8/$L$1*12</f>
        <v>15.334645256882942</v>
      </c>
      <c r="E9" s="17"/>
      <c r="F9" s="16">
        <f>F12/F8/$L$1*12</f>
        <v>14.6749847572026</v>
      </c>
      <c r="G9" s="17"/>
      <c r="H9" s="16">
        <f>H12/H8/$L$1*12</f>
        <v>14.924640926436606</v>
      </c>
      <c r="I9" s="18"/>
      <c r="J9" s="19"/>
      <c r="K9" s="11"/>
      <c r="M9" s="20"/>
      <c r="O9" s="20"/>
    </row>
    <row r="10" spans="1:15" s="4" customFormat="1" ht="18" customHeight="1">
      <c r="H10" s="74" t="s">
        <v>15</v>
      </c>
      <c r="I10" s="74"/>
    </row>
    <row r="11" spans="1:15" s="23" customFormat="1" ht="18" customHeight="1">
      <c r="A11" s="21" t="s">
        <v>16</v>
      </c>
      <c r="B11" s="22" t="s">
        <v>17</v>
      </c>
      <c r="C11" s="22" t="s">
        <v>10</v>
      </c>
      <c r="D11" s="22" t="s">
        <v>17</v>
      </c>
      <c r="E11" s="22" t="s">
        <v>10</v>
      </c>
      <c r="F11" s="22" t="s">
        <v>17</v>
      </c>
      <c r="G11" s="22" t="s">
        <v>10</v>
      </c>
      <c r="H11" s="22" t="s">
        <v>17</v>
      </c>
      <c r="I11" s="22" t="s">
        <v>10</v>
      </c>
    </row>
    <row r="12" spans="1:15" s="4" customFormat="1" ht="18" customHeight="1">
      <c r="A12" s="7" t="s">
        <v>18</v>
      </c>
      <c r="B12" s="8">
        <v>126061519.46666665</v>
      </c>
      <c r="C12" s="24">
        <f>B12/$B$15</f>
        <v>0.99171596867794876</v>
      </c>
      <c r="D12" s="8">
        <v>118302941.71666664</v>
      </c>
      <c r="E12" s="24">
        <f>D12/$D$15</f>
        <v>0.99329193487946066</v>
      </c>
      <c r="F12" s="8">
        <v>102063406.13333333</v>
      </c>
      <c r="G12" s="24">
        <f>F12/$F$15</f>
        <v>0.99322045374546808</v>
      </c>
      <c r="H12" s="8">
        <f>B12+D12+F12</f>
        <v>346427867.3166666</v>
      </c>
      <c r="I12" s="24">
        <f>H12/$H$15</f>
        <v>0.99269684143635861</v>
      </c>
      <c r="J12" s="10"/>
      <c r="K12" s="10"/>
      <c r="L12" s="10"/>
      <c r="M12" s="25"/>
    </row>
    <row r="13" spans="1:15" s="4" customFormat="1" ht="18" customHeight="1">
      <c r="A13" s="7" t="s">
        <v>19</v>
      </c>
      <c r="B13" s="26">
        <v>604490.69999999995</v>
      </c>
      <c r="C13" s="24">
        <f>B13/$B$15</f>
        <v>4.7554803610456824E-3</v>
      </c>
      <c r="D13" s="26">
        <v>528018.33333333337</v>
      </c>
      <c r="E13" s="24">
        <f>D13/$D$15</f>
        <v>4.4333331391251951E-3</v>
      </c>
      <c r="F13" s="26">
        <v>696666.66666666674</v>
      </c>
      <c r="G13" s="24">
        <f>F13/$F$15</f>
        <v>6.7795462545319138E-3</v>
      </c>
      <c r="H13" s="8">
        <f>B13+D13+F13</f>
        <v>1829175.7</v>
      </c>
      <c r="I13" s="24">
        <f>H13/$H$15</f>
        <v>5.2415440879134542E-3</v>
      </c>
      <c r="J13" s="25"/>
      <c r="K13" s="25"/>
      <c r="L13" s="25"/>
    </row>
    <row r="14" spans="1:15" s="4" customFormat="1" ht="18" customHeight="1">
      <c r="A14" s="7" t="s">
        <v>20</v>
      </c>
      <c r="B14" s="26">
        <v>448530.1333333333</v>
      </c>
      <c r="C14" s="24">
        <f>B14/$B$15</f>
        <v>3.528550961005468E-3</v>
      </c>
      <c r="D14" s="8">
        <v>270924.8666666667</v>
      </c>
      <c r="E14" s="24">
        <f>D14/$D$15</f>
        <v>2.2747319814142974E-3</v>
      </c>
      <c r="F14" s="8">
        <v>0</v>
      </c>
      <c r="G14" s="24">
        <f>F14/$F$15</f>
        <v>0</v>
      </c>
      <c r="H14" s="8">
        <f>B14+D14+F14</f>
        <v>719455</v>
      </c>
      <c r="I14" s="24">
        <f>H14/$H$15</f>
        <v>2.0616144757279325E-3</v>
      </c>
      <c r="J14" s="25"/>
      <c r="K14" s="10"/>
    </row>
    <row r="15" spans="1:15" s="30" customFormat="1" ht="18" customHeight="1">
      <c r="A15" s="27" t="s">
        <v>21</v>
      </c>
      <c r="B15" s="28">
        <f>SUM(B12:B14)</f>
        <v>127114540.3</v>
      </c>
      <c r="C15" s="29">
        <f t="shared" ref="C15:I15" si="1">SUM(C12:C14)</f>
        <v>0.99999999999999989</v>
      </c>
      <c r="D15" s="28">
        <f t="shared" si="1"/>
        <v>119101884.91666663</v>
      </c>
      <c r="E15" s="29">
        <f t="shared" si="1"/>
        <v>1.0000000000000002</v>
      </c>
      <c r="F15" s="28">
        <f t="shared" si="1"/>
        <v>102760072.8</v>
      </c>
      <c r="G15" s="29">
        <f t="shared" si="1"/>
        <v>1</v>
      </c>
      <c r="H15" s="28">
        <f t="shared" si="1"/>
        <v>348976498.01666659</v>
      </c>
      <c r="I15" s="29">
        <f t="shared" si="1"/>
        <v>1</v>
      </c>
    </row>
    <row r="16" spans="1:15" s="30" customFormat="1" ht="18" customHeight="1">
      <c r="A16" s="27" t="s">
        <v>22</v>
      </c>
      <c r="B16" s="22" t="s">
        <v>17</v>
      </c>
      <c r="C16" s="22" t="s">
        <v>10</v>
      </c>
      <c r="D16" s="22" t="s">
        <v>17</v>
      </c>
      <c r="E16" s="22" t="s">
        <v>10</v>
      </c>
      <c r="F16" s="22" t="s">
        <v>17</v>
      </c>
      <c r="G16" s="22" t="s">
        <v>10</v>
      </c>
      <c r="H16" s="22" t="s">
        <v>17</v>
      </c>
      <c r="I16" s="22" t="s">
        <v>10</v>
      </c>
    </row>
    <row r="17" spans="1:16" s="4" customFormat="1" ht="18" customHeight="1">
      <c r="A17" s="7" t="s">
        <v>23</v>
      </c>
      <c r="B17" s="8">
        <v>48937567</v>
      </c>
      <c r="C17" s="24">
        <f t="shared" ref="C17:C26" si="2">B17/$B$15</f>
        <v>0.38498795562257171</v>
      </c>
      <c r="D17" s="8">
        <v>48937567</v>
      </c>
      <c r="E17" s="24">
        <f t="shared" ref="E17:E26" si="3">D17/$D$15</f>
        <v>0.4108882662456661</v>
      </c>
      <c r="F17" s="8">
        <v>48937567</v>
      </c>
      <c r="G17" s="24">
        <f t="shared" ref="G17:G26" si="4">F17/$F$15</f>
        <v>0.47623133836471943</v>
      </c>
      <c r="H17" s="8">
        <f>B17+D17+F17</f>
        <v>146812701</v>
      </c>
      <c r="I17" s="24">
        <f t="shared" ref="I17:I26" si="5">H17/$H$15</f>
        <v>0.42069509504043578</v>
      </c>
      <c r="J17" s="25"/>
      <c r="K17" s="31"/>
      <c r="L17" s="25"/>
      <c r="M17" s="25"/>
    </row>
    <row r="18" spans="1:16" s="4" customFormat="1" ht="18" customHeight="1">
      <c r="A18" s="7" t="s">
        <v>24</v>
      </c>
      <c r="B18" s="8">
        <v>9194161</v>
      </c>
      <c r="C18" s="24">
        <f t="shared" si="2"/>
        <v>7.232973488556918E-2</v>
      </c>
      <c r="D18" s="8">
        <v>10998667</v>
      </c>
      <c r="E18" s="24">
        <f t="shared" si="3"/>
        <v>9.2346708095304805E-2</v>
      </c>
      <c r="F18" s="8">
        <v>10675051</v>
      </c>
      <c r="G18" s="24">
        <f t="shared" si="4"/>
        <v>0.10388325649376146</v>
      </c>
      <c r="H18" s="8">
        <f t="shared" ref="H18:H26" si="6">B18+D18+F18</f>
        <v>30867879</v>
      </c>
      <c r="I18" s="24">
        <f t="shared" si="5"/>
        <v>8.8452601179251328E-2</v>
      </c>
      <c r="J18" s="25"/>
      <c r="K18" s="25"/>
      <c r="L18" s="25"/>
      <c r="M18" s="25"/>
    </row>
    <row r="19" spans="1:16" s="4" customFormat="1" ht="18" hidden="1" customHeight="1">
      <c r="A19" s="7" t="s">
        <v>25</v>
      </c>
      <c r="B19" s="8">
        <v>0</v>
      </c>
      <c r="C19" s="24">
        <f t="shared" si="2"/>
        <v>0</v>
      </c>
      <c r="D19" s="8">
        <v>0</v>
      </c>
      <c r="E19" s="24">
        <f t="shared" si="3"/>
        <v>0</v>
      </c>
      <c r="F19" s="8">
        <v>0</v>
      </c>
      <c r="G19" s="24">
        <f t="shared" si="4"/>
        <v>0</v>
      </c>
      <c r="H19" s="8">
        <f t="shared" si="6"/>
        <v>0</v>
      </c>
      <c r="I19" s="24">
        <f t="shared" si="5"/>
        <v>0</v>
      </c>
      <c r="J19" s="25"/>
      <c r="K19" s="31"/>
      <c r="L19" s="25"/>
      <c r="M19" s="25"/>
    </row>
    <row r="20" spans="1:16" s="4" customFormat="1" ht="18" customHeight="1">
      <c r="A20" s="7" t="s">
        <v>26</v>
      </c>
      <c r="B20" s="8">
        <v>6192239.0999999996</v>
      </c>
      <c r="C20" s="24">
        <f t="shared" si="2"/>
        <v>4.8713853548035056E-2</v>
      </c>
      <c r="D20" s="8">
        <v>6692239.0999999996</v>
      </c>
      <c r="E20" s="24">
        <f t="shared" si="3"/>
        <v>5.6189195533575598E-2</v>
      </c>
      <c r="F20" s="8">
        <v>6222239.0999999996</v>
      </c>
      <c r="G20" s="24">
        <f t="shared" si="4"/>
        <v>6.0551135576852176E-2</v>
      </c>
      <c r="H20" s="8">
        <f t="shared" si="6"/>
        <v>19106717.299999997</v>
      </c>
      <c r="I20" s="24">
        <f t="shared" si="5"/>
        <v>5.4750727938955614E-2</v>
      </c>
      <c r="K20" s="31"/>
      <c r="L20" s="25"/>
      <c r="M20" s="25"/>
    </row>
    <row r="21" spans="1:16" s="4" customFormat="1" ht="18" customHeight="1">
      <c r="A21" s="7" t="s">
        <v>27</v>
      </c>
      <c r="B21" s="8">
        <v>2038497.8</v>
      </c>
      <c r="C21" s="24">
        <f t="shared" si="2"/>
        <v>1.6036700405704887E-2</v>
      </c>
      <c r="D21" s="8">
        <v>2212778</v>
      </c>
      <c r="E21" s="24">
        <f t="shared" si="3"/>
        <v>1.8578866334048698E-2</v>
      </c>
      <c r="F21" s="8">
        <v>2212778</v>
      </c>
      <c r="G21" s="24">
        <f t="shared" si="4"/>
        <v>2.153344134259897E-2</v>
      </c>
      <c r="H21" s="8">
        <f t="shared" si="6"/>
        <v>6464053.7999999998</v>
      </c>
      <c r="I21" s="24">
        <f t="shared" si="5"/>
        <v>1.8522891474747064E-2</v>
      </c>
      <c r="J21" s="25"/>
      <c r="K21" s="31"/>
      <c r="L21" s="31"/>
      <c r="M21" s="31"/>
    </row>
    <row r="22" spans="1:16" s="4" customFormat="1" ht="18" customHeight="1">
      <c r="A22" s="7" t="s">
        <v>28</v>
      </c>
      <c r="B22" s="8">
        <v>23882632.583333332</v>
      </c>
      <c r="C22" s="24">
        <f t="shared" si="2"/>
        <v>0.18788277507017292</v>
      </c>
      <c r="D22" s="8">
        <v>7408657.208333333</v>
      </c>
      <c r="E22" s="24">
        <f t="shared" si="3"/>
        <v>6.2204365728695497E-2</v>
      </c>
      <c r="F22" s="8">
        <v>4468750.0000000009</v>
      </c>
      <c r="G22" s="24">
        <f t="shared" si="4"/>
        <v>4.3487221040583002E-2</v>
      </c>
      <c r="H22" s="8">
        <f t="shared" si="6"/>
        <v>35760039.791666664</v>
      </c>
      <c r="I22" s="24">
        <f t="shared" si="5"/>
        <v>0.10247119790272759</v>
      </c>
      <c r="J22" s="32"/>
      <c r="K22" s="31"/>
      <c r="L22" s="25"/>
      <c r="M22" s="25"/>
    </row>
    <row r="23" spans="1:16" s="4" customFormat="1" ht="18" customHeight="1">
      <c r="A23" s="33" t="s">
        <v>29</v>
      </c>
      <c r="B23" s="8">
        <v>609000</v>
      </c>
      <c r="C23" s="24">
        <f>B23/$B$15</f>
        <v>4.7909546662617325E-3</v>
      </c>
      <c r="D23" s="8">
        <v>599000</v>
      </c>
      <c r="E23" s="24">
        <f>D23/$D$15</f>
        <v>5.029307474177333E-3</v>
      </c>
      <c r="F23" s="8">
        <v>579000</v>
      </c>
      <c r="G23" s="24">
        <f>F23/$F$15</f>
        <v>5.6344841359435086E-3</v>
      </c>
      <c r="H23" s="8">
        <f>B23+D23+F23</f>
        <v>1787000</v>
      </c>
      <c r="I23" s="24">
        <f>H23/$H$15</f>
        <v>5.1206886714607802E-3</v>
      </c>
      <c r="J23" s="25"/>
      <c r="K23" s="31"/>
      <c r="L23" s="25"/>
      <c r="M23" s="25"/>
      <c r="P23" s="10"/>
    </row>
    <row r="24" spans="1:16" s="4" customFormat="1" ht="18" customHeight="1">
      <c r="A24" s="7" t="s">
        <v>30</v>
      </c>
      <c r="B24" s="8">
        <v>716070</v>
      </c>
      <c r="C24" s="24">
        <f>B24/$B$15</f>
        <v>5.6332658585714918E-3</v>
      </c>
      <c r="D24" s="8">
        <v>628370</v>
      </c>
      <c r="E24" s="24">
        <f>D24/$D$15</f>
        <v>5.2759030676941742E-3</v>
      </c>
      <c r="F24" s="8">
        <v>628370</v>
      </c>
      <c r="G24" s="24">
        <f>F24/$F$15</f>
        <v>6.1149236554452887E-3</v>
      </c>
      <c r="H24" s="8">
        <f>B24+D24+F24</f>
        <v>1972810</v>
      </c>
      <c r="I24" s="24">
        <f>H24/$H$15</f>
        <v>5.6531314034384671E-3</v>
      </c>
      <c r="J24" s="25"/>
      <c r="K24" s="31"/>
      <c r="L24" s="34"/>
      <c r="M24" s="35"/>
      <c r="N24" s="36"/>
      <c r="O24" s="37"/>
      <c r="P24" s="32"/>
    </row>
    <row r="25" spans="1:16" s="4" customFormat="1" ht="18" customHeight="1">
      <c r="A25" s="7" t="s">
        <v>31</v>
      </c>
      <c r="B25" s="8">
        <v>258000</v>
      </c>
      <c r="C25" s="24">
        <f>B25/$B$15</f>
        <v>2.0296655236379754E-3</v>
      </c>
      <c r="D25" s="8">
        <v>658000</v>
      </c>
      <c r="E25" s="24">
        <f>D25/$D$15</f>
        <v>5.5246816661246824E-3</v>
      </c>
      <c r="F25" s="8">
        <v>258000</v>
      </c>
      <c r="G25" s="24">
        <f>F25/$F$15</f>
        <v>2.5107027756017704E-3</v>
      </c>
      <c r="H25" s="8">
        <f>B25+D25+F25</f>
        <v>1174000</v>
      </c>
      <c r="I25" s="24">
        <f>H25/$H$15</f>
        <v>3.3641233913234226E-3</v>
      </c>
      <c r="J25" s="25"/>
      <c r="K25" s="31"/>
      <c r="L25" s="38"/>
      <c r="M25" s="34"/>
      <c r="N25" s="39"/>
      <c r="O25" s="39"/>
      <c r="P25" s="10"/>
    </row>
    <row r="26" spans="1:16" s="4" customFormat="1" ht="18" customHeight="1">
      <c r="A26" s="7" t="s">
        <v>32</v>
      </c>
      <c r="B26" s="8">
        <v>13296247.498068353</v>
      </c>
      <c r="C26" s="24">
        <f t="shared" si="2"/>
        <v>0.10460052380072489</v>
      </c>
      <c r="D26" s="8">
        <v>12672593.612776913</v>
      </c>
      <c r="E26" s="24">
        <f t="shared" si="3"/>
        <v>0.10640128509841545</v>
      </c>
      <c r="F26" s="8">
        <v>12885510.303206701</v>
      </c>
      <c r="G26" s="24">
        <f t="shared" si="4"/>
        <v>0.12539413365622587</v>
      </c>
      <c r="H26" s="8">
        <f t="shared" si="6"/>
        <v>38854351.414051965</v>
      </c>
      <c r="I26" s="24">
        <f t="shared" si="5"/>
        <v>0.11133801741627981</v>
      </c>
      <c r="J26" s="25"/>
      <c r="K26" s="31"/>
      <c r="L26" s="34"/>
      <c r="M26" s="34"/>
      <c r="N26" s="34"/>
      <c r="O26" s="34"/>
    </row>
    <row r="27" spans="1:16" s="30" customFormat="1" ht="18" customHeight="1">
      <c r="A27" s="27" t="s">
        <v>33</v>
      </c>
      <c r="B27" s="28">
        <f t="shared" ref="B27:I27" si="7">SUM(B17:B26)</f>
        <v>105124414.98140168</v>
      </c>
      <c r="C27" s="40">
        <f t="shared" si="7"/>
        <v>0.82700542938124988</v>
      </c>
      <c r="D27" s="28">
        <f t="shared" si="7"/>
        <v>90807871.921110243</v>
      </c>
      <c r="E27" s="40">
        <f t="shared" si="7"/>
        <v>0.76243857924370229</v>
      </c>
      <c r="F27" s="28">
        <f t="shared" si="7"/>
        <v>86867265.403206691</v>
      </c>
      <c r="G27" s="40">
        <f t="shared" si="7"/>
        <v>0.84534063704173146</v>
      </c>
      <c r="H27" s="28">
        <f t="shared" si="7"/>
        <v>282799552.30571866</v>
      </c>
      <c r="I27" s="40">
        <f t="shared" si="7"/>
        <v>0.81036847441861992</v>
      </c>
      <c r="J27" s="41"/>
      <c r="K27" s="42"/>
      <c r="L27" s="43"/>
      <c r="M27" s="43"/>
      <c r="N27" s="44"/>
    </row>
    <row r="28" spans="1:16" s="30" customFormat="1" ht="18" customHeight="1">
      <c r="A28" s="27" t="s">
        <v>34</v>
      </c>
      <c r="B28" s="28">
        <f t="shared" ref="B28:I28" si="8">B15-B27</f>
        <v>21990125.318598315</v>
      </c>
      <c r="C28" s="40">
        <f t="shared" si="8"/>
        <v>0.17299457061875001</v>
      </c>
      <c r="D28" s="28">
        <f t="shared" si="8"/>
        <v>28294012.995556384</v>
      </c>
      <c r="E28" s="40">
        <f t="shared" si="8"/>
        <v>0.23756142075629794</v>
      </c>
      <c r="F28" s="28">
        <f t="shared" si="8"/>
        <v>15892807.396793306</v>
      </c>
      <c r="G28" s="40">
        <f t="shared" si="8"/>
        <v>0.15465936295826854</v>
      </c>
      <c r="H28" s="28">
        <f t="shared" si="8"/>
        <v>66176945.710947931</v>
      </c>
      <c r="I28" s="40">
        <f t="shared" si="8"/>
        <v>0.18963152558138008</v>
      </c>
      <c r="K28" s="42"/>
      <c r="L28" s="41"/>
      <c r="M28" s="41"/>
    </row>
    <row r="29" spans="1:16" s="30" customFormat="1" ht="18" customHeight="1">
      <c r="A29" s="45" t="s">
        <v>35</v>
      </c>
      <c r="B29" s="28"/>
      <c r="C29" s="46"/>
      <c r="D29" s="28"/>
      <c r="E29" s="28"/>
      <c r="F29" s="28"/>
      <c r="G29" s="28"/>
      <c r="H29" s="28"/>
      <c r="I29" s="28"/>
      <c r="K29" s="42"/>
    </row>
    <row r="30" spans="1:16" s="4" customFormat="1" ht="18" customHeight="1">
      <c r="A30" s="7" t="s">
        <v>36</v>
      </c>
      <c r="B30" s="8">
        <v>10107230</v>
      </c>
      <c r="C30" s="24">
        <f>B30/$B$15</f>
        <v>7.9512776242168418E-2</v>
      </c>
      <c r="D30" s="8">
        <v>10107230</v>
      </c>
      <c r="E30" s="24">
        <f>D30/$D$15</f>
        <v>8.4862049052135832E-2</v>
      </c>
      <c r="F30" s="8">
        <v>10107230</v>
      </c>
      <c r="G30" s="24">
        <f>F30/$F$15</f>
        <v>9.8357559746687917E-2</v>
      </c>
      <c r="H30" s="8">
        <f>B30+D30+F30</f>
        <v>30321690</v>
      </c>
      <c r="I30" s="24">
        <f>H30/$H$15</f>
        <v>8.6887484321514052E-2</v>
      </c>
      <c r="J30" s="47"/>
      <c r="K30" s="25"/>
      <c r="L30" s="10"/>
      <c r="M30" s="10"/>
    </row>
    <row r="31" spans="1:16" s="4" customFormat="1" ht="18" customHeight="1">
      <c r="A31" s="7" t="s">
        <v>37</v>
      </c>
      <c r="B31" s="8">
        <v>21556042.219903704</v>
      </c>
      <c r="C31" s="24">
        <f>B31/$B$15</f>
        <v>0.16957967333264787</v>
      </c>
      <c r="D31" s="8">
        <v>21167723.683908693</v>
      </c>
      <c r="E31" s="24">
        <f>D31/$D$15</f>
        <v>0.17772786466578053</v>
      </c>
      <c r="F31" s="8">
        <v>14943713.063374517</v>
      </c>
      <c r="G31" s="24">
        <f>F31/$F$15</f>
        <v>0.14542334056593348</v>
      </c>
      <c r="H31" s="8">
        <f>B31+D31+F31</f>
        <v>57667478.967186913</v>
      </c>
      <c r="I31" s="24">
        <f>H31/$H$15</f>
        <v>0.16524745733574528</v>
      </c>
      <c r="J31" s="10"/>
      <c r="K31" s="25"/>
      <c r="L31" s="10"/>
      <c r="M31" s="25"/>
    </row>
    <row r="32" spans="1:16" s="4" customFormat="1" ht="18" customHeight="1">
      <c r="A32" s="7" t="s">
        <v>38</v>
      </c>
      <c r="B32" s="8">
        <v>2407412</v>
      </c>
      <c r="C32" s="24">
        <f>B32/$B$15</f>
        <v>1.8938919137954827E-2</v>
      </c>
      <c r="D32" s="8">
        <v>2407412</v>
      </c>
      <c r="E32" s="24">
        <f>D32/$D$15</f>
        <v>2.0213047020073791E-2</v>
      </c>
      <c r="F32" s="8">
        <v>2407412</v>
      </c>
      <c r="G32" s="24">
        <f>F32/$F$15</f>
        <v>2.3427503838825619E-2</v>
      </c>
      <c r="H32" s="8">
        <f>B32+D32+F32</f>
        <v>7222236</v>
      </c>
      <c r="I32" s="24">
        <f>H32/$H$15</f>
        <v>2.069547961265597E-2</v>
      </c>
      <c r="J32" s="47"/>
      <c r="K32" s="31"/>
    </row>
    <row r="33" spans="1:13" s="30" customFormat="1" ht="18" customHeight="1">
      <c r="A33" s="27" t="s">
        <v>39</v>
      </c>
      <c r="B33" s="28">
        <f t="shared" ref="B33:I33" si="9">SUM(B30:B32)</f>
        <v>34070684.219903708</v>
      </c>
      <c r="C33" s="40">
        <f t="shared" si="9"/>
        <v>0.26803136871277111</v>
      </c>
      <c r="D33" s="28">
        <f t="shared" si="9"/>
        <v>33682365.683908693</v>
      </c>
      <c r="E33" s="40">
        <f t="shared" si="9"/>
        <v>0.28280296073799016</v>
      </c>
      <c r="F33" s="28">
        <f t="shared" si="9"/>
        <v>27458355.063374519</v>
      </c>
      <c r="G33" s="40">
        <f t="shared" si="9"/>
        <v>0.26720840415144703</v>
      </c>
      <c r="H33" s="28">
        <f t="shared" si="9"/>
        <v>95211404.967186913</v>
      </c>
      <c r="I33" s="40">
        <f t="shared" si="9"/>
        <v>0.2728304212699153</v>
      </c>
      <c r="K33" s="42"/>
    </row>
    <row r="34" spans="1:13" s="30" customFormat="1" ht="18" customHeight="1">
      <c r="A34" s="27" t="s">
        <v>40</v>
      </c>
      <c r="B34" s="28">
        <f t="shared" ref="B34:I34" si="10">B28-B33</f>
        <v>-12080558.901305392</v>
      </c>
      <c r="C34" s="40">
        <f t="shared" si="10"/>
        <v>-9.5036798094021102E-2</v>
      </c>
      <c r="D34" s="28">
        <f t="shared" si="10"/>
        <v>-5388352.6883523092</v>
      </c>
      <c r="E34" s="40">
        <f t="shared" si="10"/>
        <v>-4.5241539981692225E-2</v>
      </c>
      <c r="F34" s="28">
        <f t="shared" si="10"/>
        <v>-11565547.666581213</v>
      </c>
      <c r="G34" s="40">
        <f t="shared" si="10"/>
        <v>-0.11254904119317849</v>
      </c>
      <c r="H34" s="28">
        <f t="shared" si="10"/>
        <v>-29034459.256238982</v>
      </c>
      <c r="I34" s="40">
        <f t="shared" si="10"/>
        <v>-8.3198895688535224E-2</v>
      </c>
      <c r="K34" s="42"/>
    </row>
    <row r="35" spans="1:13" s="30" customFormat="1" ht="18" customHeight="1">
      <c r="A35" s="27" t="s">
        <v>41</v>
      </c>
      <c r="B35" s="28"/>
      <c r="C35" s="28"/>
      <c r="D35" s="28"/>
      <c r="E35" s="28"/>
      <c r="F35" s="28"/>
      <c r="G35" s="28"/>
      <c r="H35" s="28"/>
      <c r="I35" s="28"/>
      <c r="K35" s="42"/>
      <c r="L35" s="41"/>
    </row>
    <row r="36" spans="1:13" s="4" customFormat="1" ht="18" customHeight="1">
      <c r="A36" s="7" t="s">
        <v>42</v>
      </c>
      <c r="B36" s="26">
        <v>2019778.5715800002</v>
      </c>
      <c r="C36" s="24">
        <f>B36/$B$15</f>
        <v>1.5889437721390242E-2</v>
      </c>
      <c r="D36" s="26">
        <v>2042310.11754</v>
      </c>
      <c r="E36" s="24">
        <f>D36/$D$15</f>
        <v>1.7147588545462285E-2</v>
      </c>
      <c r="F36" s="26">
        <v>1517804.5436399998</v>
      </c>
      <c r="G36" s="24">
        <f>F36/$F$15</f>
        <v>1.477037240518576E-2</v>
      </c>
      <c r="H36" s="8">
        <f>B36+D36+F36</f>
        <v>5579893.23276</v>
      </c>
      <c r="I36" s="24">
        <f>H36/$H$15</f>
        <v>1.5989309493539342E-2</v>
      </c>
      <c r="K36" s="42"/>
    </row>
    <row r="37" spans="1:13" s="4" customFormat="1" ht="18" hidden="1" customHeight="1">
      <c r="A37" s="7" t="s">
        <v>43</v>
      </c>
      <c r="B37" s="26">
        <v>0</v>
      </c>
      <c r="C37" s="24">
        <f>B37/$B$15</f>
        <v>0</v>
      </c>
      <c r="D37" s="26">
        <v>0</v>
      </c>
      <c r="E37" s="24">
        <f>D37/$D$15</f>
        <v>0</v>
      </c>
      <c r="F37" s="26">
        <v>0</v>
      </c>
      <c r="G37" s="24">
        <f>F37/$F$15</f>
        <v>0</v>
      </c>
      <c r="H37" s="8">
        <f>B37+D37+F37</f>
        <v>0</v>
      </c>
      <c r="I37" s="24">
        <f>H37/$H$15</f>
        <v>0</v>
      </c>
      <c r="K37" s="42"/>
    </row>
    <row r="38" spans="1:13" s="4" customFormat="1" ht="18" customHeight="1">
      <c r="A38" s="7" t="s">
        <v>44</v>
      </c>
      <c r="B38" s="26">
        <f>5000000/3</f>
        <v>1666666.6666666667</v>
      </c>
      <c r="C38" s="24">
        <f>B38/$B$15</f>
        <v>1.3111534390426198E-2</v>
      </c>
      <c r="D38" s="26">
        <f>5000000/3</f>
        <v>1666666.6666666667</v>
      </c>
      <c r="E38" s="24">
        <f>D38/$D$15</f>
        <v>1.3993621241450566E-2</v>
      </c>
      <c r="F38" s="26">
        <f>5000000/3</f>
        <v>1666666.6666666667</v>
      </c>
      <c r="G38" s="24">
        <f>F38/$F$15</f>
        <v>1.6219010178306011E-2</v>
      </c>
      <c r="H38" s="8">
        <f>B38+D38+F38</f>
        <v>5000000</v>
      </c>
      <c r="I38" s="24">
        <f>H38/$H$15</f>
        <v>1.4327612399162786E-2</v>
      </c>
      <c r="K38" s="42"/>
    </row>
    <row r="39" spans="1:13" s="30" customFormat="1" ht="18" customHeight="1">
      <c r="A39" s="27" t="s">
        <v>45</v>
      </c>
      <c r="B39" s="28">
        <f t="shared" ref="B39:I39" si="11">SUM(B36:B38)</f>
        <v>3686445.2382466672</v>
      </c>
      <c r="C39" s="40">
        <f t="shared" si="11"/>
        <v>2.9000972111816438E-2</v>
      </c>
      <c r="D39" s="28">
        <f t="shared" si="11"/>
        <v>3708976.784206667</v>
      </c>
      <c r="E39" s="40">
        <f t="shared" si="11"/>
        <v>3.114120978691285E-2</v>
      </c>
      <c r="F39" s="28">
        <f t="shared" si="11"/>
        <v>3184471.2103066668</v>
      </c>
      <c r="G39" s="40">
        <f t="shared" si="11"/>
        <v>3.0989382583491772E-2</v>
      </c>
      <c r="H39" s="28">
        <f t="shared" si="11"/>
        <v>10579893.232760001</v>
      </c>
      <c r="I39" s="40">
        <f t="shared" si="11"/>
        <v>3.0316921892702128E-2</v>
      </c>
      <c r="K39" s="41"/>
      <c r="L39" s="41"/>
    </row>
    <row r="40" spans="1:13" s="30" customFormat="1" ht="18" customHeight="1">
      <c r="A40" s="27" t="s">
        <v>46</v>
      </c>
      <c r="B40" s="28">
        <f t="shared" ref="B40:I40" si="12">B34+B39</f>
        <v>-8394113.6630587243</v>
      </c>
      <c r="C40" s="40">
        <f t="shared" si="12"/>
        <v>-6.6035825982204671E-2</v>
      </c>
      <c r="D40" s="28">
        <f t="shared" si="12"/>
        <v>-1679375.9041456422</v>
      </c>
      <c r="E40" s="40">
        <f t="shared" si="12"/>
        <v>-1.4100330194779374E-2</v>
      </c>
      <c r="F40" s="28">
        <f t="shared" si="12"/>
        <v>-8381076.4562745467</v>
      </c>
      <c r="G40" s="40">
        <f t="shared" si="12"/>
        <v>-8.1559658609686725E-2</v>
      </c>
      <c r="H40" s="28">
        <f t="shared" si="12"/>
        <v>-18454566.023478981</v>
      </c>
      <c r="I40" s="40">
        <f t="shared" si="12"/>
        <v>-5.2881973795833093E-2</v>
      </c>
      <c r="K40" s="41"/>
      <c r="L40" s="41"/>
    </row>
    <row r="41" spans="1:13" s="4" customFormat="1" ht="18" customHeight="1">
      <c r="A41" s="7" t="s">
        <v>47</v>
      </c>
      <c r="B41" s="8">
        <v>9660000</v>
      </c>
      <c r="C41" s="24">
        <f>B41/$B$15</f>
        <v>7.5994453326910238E-2</v>
      </c>
      <c r="D41" s="8">
        <v>9660000</v>
      </c>
      <c r="E41" s="24">
        <f>D41/$D$15</f>
        <v>8.1107028715447477E-2</v>
      </c>
      <c r="F41" s="8">
        <v>9660000</v>
      </c>
      <c r="G41" s="24">
        <f>F41/$F$15</f>
        <v>9.4005382993461645E-2</v>
      </c>
      <c r="H41" s="8">
        <f>B41+D41+F41</f>
        <v>28980000</v>
      </c>
      <c r="I41" s="24">
        <f>H41/$H$15</f>
        <v>8.3042841465547509E-2</v>
      </c>
      <c r="J41" s="10"/>
    </row>
    <row r="42" spans="1:13" s="30" customFormat="1" ht="18" customHeight="1">
      <c r="A42" s="27" t="s">
        <v>48</v>
      </c>
      <c r="B42" s="28">
        <f t="shared" ref="B42:I42" si="13">B40-B41</f>
        <v>-18054113.663058724</v>
      </c>
      <c r="C42" s="40">
        <f t="shared" si="13"/>
        <v>-0.14203027930911491</v>
      </c>
      <c r="D42" s="28">
        <f t="shared" si="13"/>
        <v>-11339375.904145643</v>
      </c>
      <c r="E42" s="40">
        <f t="shared" si="13"/>
        <v>-9.5207358910226858E-2</v>
      </c>
      <c r="F42" s="28">
        <f t="shared" si="13"/>
        <v>-18041076.456274547</v>
      </c>
      <c r="G42" s="40">
        <f t="shared" si="13"/>
        <v>-0.17556504160314837</v>
      </c>
      <c r="H42" s="28">
        <f t="shared" si="13"/>
        <v>-47434566.023478985</v>
      </c>
      <c r="I42" s="40">
        <f t="shared" si="13"/>
        <v>-0.13592481526138062</v>
      </c>
      <c r="K42" s="41"/>
    </row>
    <row r="43" spans="1:13">
      <c r="B43" s="48"/>
      <c r="D43" s="48"/>
      <c r="F43" s="48"/>
      <c r="K43" s="49"/>
      <c r="L43" s="50"/>
    </row>
    <row r="44" spans="1:13" hidden="1">
      <c r="A44" s="51" t="s">
        <v>49</v>
      </c>
      <c r="B44" s="52"/>
      <c r="C44" s="52"/>
      <c r="D44" s="52"/>
      <c r="E44" s="52"/>
      <c r="F44" s="52"/>
      <c r="G44" s="52"/>
      <c r="H44" s="52">
        <f>H27-H22+H33+H41</f>
        <v>371230917.4812389</v>
      </c>
      <c r="I44" s="51"/>
      <c r="K44" s="49"/>
      <c r="L44" s="50"/>
    </row>
    <row r="45" spans="1:13" hidden="1">
      <c r="A45" s="51" t="s">
        <v>50</v>
      </c>
      <c r="B45" s="52"/>
      <c r="C45" s="52"/>
      <c r="D45" s="52"/>
      <c r="E45" s="52"/>
      <c r="F45" s="52"/>
      <c r="G45" s="52"/>
      <c r="H45" s="52">
        <f>+B45+D45+F45</f>
        <v>0</v>
      </c>
      <c r="I45" s="53"/>
      <c r="K45" s="49"/>
      <c r="L45" s="50"/>
    </row>
    <row r="46" spans="1:13" s="54" customFormat="1" hidden="1">
      <c r="A46" s="51" t="s">
        <v>51</v>
      </c>
      <c r="B46" s="52"/>
      <c r="C46" s="51"/>
      <c r="D46" s="52"/>
      <c r="E46" s="51"/>
      <c r="F46" s="52"/>
      <c r="G46" s="51"/>
      <c r="H46" s="52">
        <f>+B46+D46+F46</f>
        <v>0</v>
      </c>
      <c r="I46" s="51"/>
      <c r="K46" s="55"/>
      <c r="L46" s="56"/>
    </row>
    <row r="47" spans="1:13" hidden="1">
      <c r="A47" s="51" t="s">
        <v>52</v>
      </c>
      <c r="B47" s="57"/>
      <c r="C47" s="51"/>
      <c r="D47" s="57"/>
      <c r="E47" s="51"/>
      <c r="F47" s="57"/>
      <c r="G47" s="51"/>
      <c r="H47" s="57" t="e">
        <f>H44/H46</f>
        <v>#DIV/0!</v>
      </c>
      <c r="I47" s="51"/>
      <c r="K47" s="58"/>
      <c r="L47" s="58"/>
      <c r="M47" s="58"/>
    </row>
    <row r="48" spans="1:13" hidden="1">
      <c r="A48" s="59" t="s">
        <v>53</v>
      </c>
      <c r="B48" s="60"/>
      <c r="C48" s="61"/>
      <c r="D48" s="60"/>
      <c r="E48" s="61"/>
      <c r="F48" s="60"/>
      <c r="G48" s="61"/>
      <c r="H48" s="60" t="e">
        <f>H45/H46</f>
        <v>#DIV/0!</v>
      </c>
      <c r="I48" s="53"/>
      <c r="K48" s="49"/>
      <c r="L48" s="50"/>
    </row>
    <row r="49" spans="2:12">
      <c r="B49" s="49"/>
      <c r="D49" s="49"/>
      <c r="F49" s="49"/>
      <c r="H49" s="49"/>
      <c r="K49" s="49"/>
      <c r="L49" s="50"/>
    </row>
    <row r="50" spans="2:12">
      <c r="K50" s="49"/>
      <c r="L50" s="50"/>
    </row>
    <row r="51" spans="2:12">
      <c r="K51" s="49"/>
      <c r="L51" s="50"/>
    </row>
    <row r="52" spans="2:12">
      <c r="K52" s="49"/>
      <c r="L52" s="50"/>
    </row>
    <row r="53" spans="2:12">
      <c r="K53" s="49"/>
      <c r="L53" s="50"/>
    </row>
    <row r="54" spans="2:12">
      <c r="K54" s="49"/>
      <c r="L54" s="50"/>
    </row>
    <row r="55" spans="2:12">
      <c r="K55" s="49"/>
      <c r="L55" s="50"/>
    </row>
    <row r="56" spans="2:12">
      <c r="H56" s="49"/>
      <c r="K56" s="50"/>
    </row>
    <row r="57" spans="2:12">
      <c r="B57" s="50"/>
      <c r="D57" s="50"/>
      <c r="F57" s="50"/>
      <c r="H57" s="50"/>
    </row>
    <row r="58" spans="2:12">
      <c r="B58" s="62"/>
      <c r="D58" s="62"/>
      <c r="F58" s="62"/>
      <c r="H58" s="62"/>
    </row>
    <row r="77" spans="4:12">
      <c r="D77" s="48"/>
    </row>
    <row r="78" spans="4:12">
      <c r="D78" s="48">
        <f>+D77/17*2</f>
        <v>0</v>
      </c>
      <c r="K78" s="1">
        <v>156700</v>
      </c>
      <c r="L78" s="1">
        <f>+K78+30000</f>
        <v>186700</v>
      </c>
    </row>
    <row r="79" spans="4:12">
      <c r="D79" s="48">
        <f>72*16*26*10*60*0.65/17</f>
        <v>687134.1176470588</v>
      </c>
      <c r="F79" s="1">
        <v>156700</v>
      </c>
      <c r="G79" s="1">
        <f>+F79+30000</f>
        <v>186700</v>
      </c>
      <c r="K79" s="1">
        <v>11250000</v>
      </c>
      <c r="L79" s="48">
        <v>11250000</v>
      </c>
    </row>
    <row r="80" spans="4:12">
      <c r="F80" s="1">
        <v>11250000</v>
      </c>
      <c r="G80" s="1">
        <v>11250000</v>
      </c>
      <c r="K80" s="1">
        <f>+K79/K78</f>
        <v>71.793235481812374</v>
      </c>
      <c r="L80" s="63">
        <f>L79/L78</f>
        <v>60.257096946973753</v>
      </c>
    </row>
    <row r="81" spans="12:12">
      <c r="L81" s="48">
        <f>30000*60</f>
        <v>1800000</v>
      </c>
    </row>
  </sheetData>
  <mergeCells count="9">
    <mergeCell ref="H10:I10"/>
    <mergeCell ref="A1:I1"/>
    <mergeCell ref="A2:I2"/>
    <mergeCell ref="A3:I3"/>
    <mergeCell ref="A4:A5"/>
    <mergeCell ref="B4:C4"/>
    <mergeCell ref="D4:E4"/>
    <mergeCell ref="F4:G4"/>
    <mergeCell ref="H4:I4"/>
  </mergeCells>
  <printOptions horizontalCentered="1"/>
  <pageMargins left="0.35" right="0.25" top="0.5" bottom="0" header="0" footer="0"/>
  <pageSetup paperSize="9" scale="80" orientation="portrait" r:id="rId1"/>
  <rowBreaks count="1" manualBreakCount="1">
    <brk id="64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workbookViewId="0">
      <selection activeCell="E1" sqref="E1"/>
    </sheetView>
  </sheetViews>
  <sheetFormatPr defaultRowHeight="13.8"/>
  <cols>
    <col min="3" max="3" width="28.5" bestFit="1" customWidth="1"/>
    <col min="4" max="4" width="28.69921875" bestFit="1" customWidth="1"/>
    <col min="5" max="5" width="11.8984375" bestFit="1" customWidth="1"/>
  </cols>
  <sheetData>
    <row r="1" spans="1:5">
      <c r="A1" s="65" t="s">
        <v>57</v>
      </c>
      <c r="B1" s="65" t="s">
        <v>60</v>
      </c>
      <c r="C1" s="65" t="s">
        <v>68</v>
      </c>
      <c r="D1" s="65" t="s">
        <v>55</v>
      </c>
      <c r="E1" s="65" t="s">
        <v>17</v>
      </c>
    </row>
    <row r="2" spans="1:5" ht="15">
      <c r="A2" t="s">
        <v>58</v>
      </c>
      <c r="B2" s="67" t="s">
        <v>61</v>
      </c>
      <c r="C2" t="s">
        <v>54</v>
      </c>
      <c r="D2" s="7" t="s">
        <v>23</v>
      </c>
      <c r="E2" s="64">
        <v>48937567</v>
      </c>
    </row>
    <row r="3" spans="1:5" ht="15">
      <c r="A3" t="s">
        <v>58</v>
      </c>
      <c r="B3" s="67" t="s">
        <v>61</v>
      </c>
      <c r="C3" t="s">
        <v>54</v>
      </c>
      <c r="D3" s="7" t="s">
        <v>24</v>
      </c>
      <c r="E3" s="64">
        <v>9194161</v>
      </c>
    </row>
    <row r="4" spans="1:5" ht="15">
      <c r="A4" t="s">
        <v>58</v>
      </c>
      <c r="B4" s="67" t="s">
        <v>61</v>
      </c>
      <c r="C4" t="s">
        <v>54</v>
      </c>
      <c r="D4" s="7" t="s">
        <v>26</v>
      </c>
      <c r="E4" s="64">
        <v>6192239.0999999996</v>
      </c>
    </row>
    <row r="5" spans="1:5" ht="15">
      <c r="A5" t="s">
        <v>58</v>
      </c>
      <c r="B5" s="67" t="s">
        <v>61</v>
      </c>
      <c r="C5" t="s">
        <v>54</v>
      </c>
      <c r="D5" s="7" t="s">
        <v>27</v>
      </c>
      <c r="E5" s="64">
        <v>2038497.8</v>
      </c>
    </row>
    <row r="6" spans="1:5" ht="15">
      <c r="A6" t="s">
        <v>58</v>
      </c>
      <c r="B6" s="67" t="s">
        <v>61</v>
      </c>
      <c r="C6" t="s">
        <v>54</v>
      </c>
      <c r="D6" s="7" t="s">
        <v>28</v>
      </c>
      <c r="E6" s="64">
        <v>23882632.583333332</v>
      </c>
    </row>
    <row r="7" spans="1:5">
      <c r="A7" t="s">
        <v>58</v>
      </c>
      <c r="B7" s="67" t="s">
        <v>61</v>
      </c>
      <c r="C7" t="s">
        <v>54</v>
      </c>
      <c r="D7" s="33" t="s">
        <v>29</v>
      </c>
      <c r="E7" s="64">
        <v>609000</v>
      </c>
    </row>
    <row r="8" spans="1:5" ht="15">
      <c r="A8" t="s">
        <v>58</v>
      </c>
      <c r="B8" s="67" t="s">
        <v>61</v>
      </c>
      <c r="C8" t="s">
        <v>54</v>
      </c>
      <c r="D8" s="7" t="s">
        <v>30</v>
      </c>
      <c r="E8" s="64">
        <v>716070</v>
      </c>
    </row>
    <row r="9" spans="1:5" ht="15">
      <c r="A9" t="s">
        <v>58</v>
      </c>
      <c r="B9" s="67" t="s">
        <v>61</v>
      </c>
      <c r="C9" t="s">
        <v>54</v>
      </c>
      <c r="D9" s="7" t="s">
        <v>31</v>
      </c>
      <c r="E9" s="64">
        <v>258000</v>
      </c>
    </row>
    <row r="10" spans="1:5" ht="15">
      <c r="A10" t="s">
        <v>58</v>
      </c>
      <c r="B10" s="67" t="s">
        <v>61</v>
      </c>
      <c r="C10" t="s">
        <v>54</v>
      </c>
      <c r="D10" s="7" t="s">
        <v>32</v>
      </c>
      <c r="E10" s="64">
        <v>13296247.498068353</v>
      </c>
    </row>
    <row r="11" spans="1:5">
      <c r="A11" t="s">
        <v>58</v>
      </c>
      <c r="B11" s="67" t="s">
        <v>61</v>
      </c>
      <c r="C11" t="s">
        <v>56</v>
      </c>
      <c r="D11" t="s">
        <v>36</v>
      </c>
      <c r="E11" s="64">
        <v>10107230</v>
      </c>
    </row>
    <row r="12" spans="1:5">
      <c r="A12" t="s">
        <v>58</v>
      </c>
      <c r="B12" s="67" t="s">
        <v>61</v>
      </c>
      <c r="C12" t="s">
        <v>56</v>
      </c>
      <c r="D12" t="s">
        <v>37</v>
      </c>
      <c r="E12" s="64">
        <v>21556042.219903704</v>
      </c>
    </row>
    <row r="13" spans="1:5">
      <c r="A13" t="s">
        <v>58</v>
      </c>
      <c r="B13" s="67" t="s">
        <v>61</v>
      </c>
      <c r="C13" t="s">
        <v>56</v>
      </c>
      <c r="D13" t="s">
        <v>38</v>
      </c>
      <c r="E13" s="64">
        <v>2407412</v>
      </c>
    </row>
    <row r="14" spans="1:5">
      <c r="A14" t="s">
        <v>58</v>
      </c>
      <c r="B14" s="67" t="s">
        <v>61</v>
      </c>
      <c r="C14" t="s">
        <v>47</v>
      </c>
      <c r="D14" t="s">
        <v>47</v>
      </c>
      <c r="E14" s="64">
        <v>9660000</v>
      </c>
    </row>
    <row r="15" spans="1:5">
      <c r="A15" t="s">
        <v>59</v>
      </c>
      <c r="B15" s="67" t="s">
        <v>61</v>
      </c>
      <c r="C15" t="s">
        <v>62</v>
      </c>
      <c r="D15" t="s">
        <v>18</v>
      </c>
      <c r="E15" s="64">
        <v>126061519.46666665</v>
      </c>
    </row>
    <row r="16" spans="1:5">
      <c r="A16" t="s">
        <v>59</v>
      </c>
      <c r="B16" s="67" t="s">
        <v>61</v>
      </c>
      <c r="C16" t="s">
        <v>62</v>
      </c>
      <c r="D16" t="s">
        <v>19</v>
      </c>
      <c r="E16" s="64">
        <v>604490.69999999995</v>
      </c>
    </row>
    <row r="17" spans="1:5">
      <c r="A17" t="s">
        <v>59</v>
      </c>
      <c r="B17" s="67" t="s">
        <v>61</v>
      </c>
      <c r="C17" t="s">
        <v>62</v>
      </c>
      <c r="D17" t="s">
        <v>20</v>
      </c>
      <c r="E17" s="64">
        <v>448530.1333333333</v>
      </c>
    </row>
    <row r="18" spans="1:5">
      <c r="A18" t="s">
        <v>59</v>
      </c>
      <c r="B18" s="67" t="s">
        <v>61</v>
      </c>
      <c r="C18" t="s">
        <v>63</v>
      </c>
      <c r="D18" t="s">
        <v>42</v>
      </c>
      <c r="E18" s="64">
        <v>2019778.5715800002</v>
      </c>
    </row>
    <row r="19" spans="1:5" ht="15">
      <c r="A19" t="s">
        <v>59</v>
      </c>
      <c r="B19" s="67" t="s">
        <v>61</v>
      </c>
      <c r="C19" t="s">
        <v>63</v>
      </c>
      <c r="D19" s="7" t="s">
        <v>44</v>
      </c>
      <c r="E19" s="64">
        <v>1666666.6666666667</v>
      </c>
    </row>
    <row r="20" spans="1:5" ht="15">
      <c r="A20" t="s">
        <v>58</v>
      </c>
      <c r="B20" s="69" t="s">
        <v>64</v>
      </c>
      <c r="C20" t="s">
        <v>54</v>
      </c>
      <c r="D20" s="7" t="s">
        <v>23</v>
      </c>
      <c r="E20" s="64">
        <v>48937567</v>
      </c>
    </row>
    <row r="21" spans="1:5" ht="15">
      <c r="A21" t="s">
        <v>58</v>
      </c>
      <c r="B21" s="69" t="s">
        <v>64</v>
      </c>
      <c r="C21" t="s">
        <v>54</v>
      </c>
      <c r="D21" s="7" t="s">
        <v>24</v>
      </c>
      <c r="E21" s="64">
        <v>10998667</v>
      </c>
    </row>
    <row r="22" spans="1:5" ht="15">
      <c r="A22" t="s">
        <v>58</v>
      </c>
      <c r="B22" s="69" t="s">
        <v>64</v>
      </c>
      <c r="C22" t="s">
        <v>54</v>
      </c>
      <c r="D22" s="7" t="s">
        <v>26</v>
      </c>
      <c r="E22" s="64">
        <v>6692239.0999999996</v>
      </c>
    </row>
    <row r="23" spans="1:5" ht="15">
      <c r="A23" t="s">
        <v>58</v>
      </c>
      <c r="B23" s="69" t="s">
        <v>64</v>
      </c>
      <c r="C23" t="s">
        <v>54</v>
      </c>
      <c r="D23" s="7" t="s">
        <v>27</v>
      </c>
      <c r="E23" s="64">
        <v>2212778</v>
      </c>
    </row>
    <row r="24" spans="1:5" ht="15">
      <c r="A24" t="s">
        <v>58</v>
      </c>
      <c r="B24" s="69" t="s">
        <v>64</v>
      </c>
      <c r="C24" t="s">
        <v>54</v>
      </c>
      <c r="D24" s="7" t="s">
        <v>28</v>
      </c>
      <c r="E24" s="64">
        <v>7408657.208333333</v>
      </c>
    </row>
    <row r="25" spans="1:5">
      <c r="A25" t="s">
        <v>58</v>
      </c>
      <c r="B25" s="69" t="s">
        <v>64</v>
      </c>
      <c r="C25" t="s">
        <v>54</v>
      </c>
      <c r="D25" s="33" t="s">
        <v>29</v>
      </c>
      <c r="E25" s="64">
        <v>599000</v>
      </c>
    </row>
    <row r="26" spans="1:5" ht="15">
      <c r="A26" t="s">
        <v>58</v>
      </c>
      <c r="B26" s="69" t="s">
        <v>64</v>
      </c>
      <c r="C26" t="s">
        <v>54</v>
      </c>
      <c r="D26" s="7" t="s">
        <v>30</v>
      </c>
      <c r="E26" s="64">
        <v>628370</v>
      </c>
    </row>
    <row r="27" spans="1:5" ht="15">
      <c r="A27" t="s">
        <v>58</v>
      </c>
      <c r="B27" s="69" t="s">
        <v>64</v>
      </c>
      <c r="C27" t="s">
        <v>54</v>
      </c>
      <c r="D27" s="7" t="s">
        <v>31</v>
      </c>
      <c r="E27" s="64">
        <v>658000</v>
      </c>
    </row>
    <row r="28" spans="1:5" ht="15">
      <c r="A28" t="s">
        <v>58</v>
      </c>
      <c r="B28" s="69" t="s">
        <v>64</v>
      </c>
      <c r="C28" t="s">
        <v>54</v>
      </c>
      <c r="D28" s="7" t="s">
        <v>32</v>
      </c>
      <c r="E28" s="64">
        <v>12672593.612776913</v>
      </c>
    </row>
    <row r="29" spans="1:5">
      <c r="A29" t="s">
        <v>58</v>
      </c>
      <c r="B29" s="69" t="s">
        <v>64</v>
      </c>
      <c r="C29" t="s">
        <v>56</v>
      </c>
      <c r="D29" t="s">
        <v>36</v>
      </c>
      <c r="E29" s="64">
        <v>10107230</v>
      </c>
    </row>
    <row r="30" spans="1:5">
      <c r="A30" t="s">
        <v>58</v>
      </c>
      <c r="B30" s="69" t="s">
        <v>64</v>
      </c>
      <c r="C30" t="s">
        <v>56</v>
      </c>
      <c r="D30" t="s">
        <v>37</v>
      </c>
      <c r="E30" s="64">
        <v>21167723.683908693</v>
      </c>
    </row>
    <row r="31" spans="1:5">
      <c r="A31" t="s">
        <v>58</v>
      </c>
      <c r="B31" s="69" t="s">
        <v>64</v>
      </c>
      <c r="C31" t="s">
        <v>56</v>
      </c>
      <c r="D31" t="s">
        <v>38</v>
      </c>
      <c r="E31" s="64">
        <v>2407412</v>
      </c>
    </row>
    <row r="32" spans="1:5">
      <c r="A32" t="s">
        <v>58</v>
      </c>
      <c r="B32" s="69" t="s">
        <v>64</v>
      </c>
      <c r="C32" t="s">
        <v>47</v>
      </c>
      <c r="D32" t="s">
        <v>47</v>
      </c>
      <c r="E32" s="64">
        <v>9660000</v>
      </c>
    </row>
    <row r="33" spans="1:5">
      <c r="A33" t="s">
        <v>59</v>
      </c>
      <c r="B33" s="69" t="s">
        <v>64</v>
      </c>
      <c r="C33" t="s">
        <v>62</v>
      </c>
      <c r="D33" t="s">
        <v>18</v>
      </c>
      <c r="E33" s="64">
        <v>118302941.71666664</v>
      </c>
    </row>
    <row r="34" spans="1:5">
      <c r="A34" t="s">
        <v>59</v>
      </c>
      <c r="B34" s="69" t="s">
        <v>64</v>
      </c>
      <c r="C34" t="s">
        <v>62</v>
      </c>
      <c r="D34" t="s">
        <v>19</v>
      </c>
      <c r="E34" s="64">
        <v>528018.33333333337</v>
      </c>
    </row>
    <row r="35" spans="1:5">
      <c r="A35" t="s">
        <v>59</v>
      </c>
      <c r="B35" s="69" t="s">
        <v>64</v>
      </c>
      <c r="C35" t="s">
        <v>62</v>
      </c>
      <c r="D35" t="s">
        <v>20</v>
      </c>
      <c r="E35" s="64">
        <v>270924.8666666667</v>
      </c>
    </row>
    <row r="36" spans="1:5">
      <c r="A36" t="s">
        <v>59</v>
      </c>
      <c r="B36" s="69" t="s">
        <v>64</v>
      </c>
      <c r="C36" t="s">
        <v>63</v>
      </c>
      <c r="D36" t="s">
        <v>42</v>
      </c>
      <c r="E36" s="64">
        <v>2042310.11754</v>
      </c>
    </row>
    <row r="37" spans="1:5" ht="15">
      <c r="A37" t="s">
        <v>59</v>
      </c>
      <c r="B37" s="69" t="s">
        <v>64</v>
      </c>
      <c r="C37" t="s">
        <v>63</v>
      </c>
      <c r="D37" s="7" t="s">
        <v>44</v>
      </c>
      <c r="E37" s="64">
        <v>1666666.6666666667</v>
      </c>
    </row>
    <row r="38" spans="1:5" ht="15">
      <c r="A38" t="s">
        <v>58</v>
      </c>
      <c r="B38" s="70" t="s">
        <v>65</v>
      </c>
      <c r="C38" t="s">
        <v>54</v>
      </c>
      <c r="D38" s="7" t="s">
        <v>23</v>
      </c>
      <c r="E38" s="64">
        <v>48937567</v>
      </c>
    </row>
    <row r="39" spans="1:5" ht="15">
      <c r="A39" t="s">
        <v>58</v>
      </c>
      <c r="B39" s="70" t="s">
        <v>65</v>
      </c>
      <c r="C39" t="s">
        <v>54</v>
      </c>
      <c r="D39" s="7" t="s">
        <v>24</v>
      </c>
      <c r="E39" s="64">
        <v>10675051</v>
      </c>
    </row>
    <row r="40" spans="1:5" ht="15">
      <c r="A40" t="s">
        <v>58</v>
      </c>
      <c r="B40" s="70" t="s">
        <v>65</v>
      </c>
      <c r="C40" t="s">
        <v>54</v>
      </c>
      <c r="D40" s="7" t="s">
        <v>26</v>
      </c>
      <c r="E40" s="64">
        <v>6222239.0999999996</v>
      </c>
    </row>
    <row r="41" spans="1:5" ht="15">
      <c r="A41" t="s">
        <v>58</v>
      </c>
      <c r="B41" s="70" t="s">
        <v>65</v>
      </c>
      <c r="C41" t="s">
        <v>54</v>
      </c>
      <c r="D41" s="7" t="s">
        <v>27</v>
      </c>
      <c r="E41" s="64">
        <v>2212778</v>
      </c>
    </row>
    <row r="42" spans="1:5" ht="15">
      <c r="A42" t="s">
        <v>58</v>
      </c>
      <c r="B42" s="70" t="s">
        <v>65</v>
      </c>
      <c r="C42" t="s">
        <v>54</v>
      </c>
      <c r="D42" s="7" t="s">
        <v>28</v>
      </c>
      <c r="E42" s="64">
        <v>4468750.0000000009</v>
      </c>
    </row>
    <row r="43" spans="1:5">
      <c r="A43" t="s">
        <v>58</v>
      </c>
      <c r="B43" s="70" t="s">
        <v>65</v>
      </c>
      <c r="C43" t="s">
        <v>54</v>
      </c>
      <c r="D43" s="33" t="s">
        <v>29</v>
      </c>
      <c r="E43" s="64">
        <v>579000</v>
      </c>
    </row>
    <row r="44" spans="1:5" ht="15">
      <c r="A44" t="s">
        <v>58</v>
      </c>
      <c r="B44" s="70" t="s">
        <v>65</v>
      </c>
      <c r="C44" t="s">
        <v>54</v>
      </c>
      <c r="D44" s="7" t="s">
        <v>30</v>
      </c>
      <c r="E44" s="64">
        <v>628370</v>
      </c>
    </row>
    <row r="45" spans="1:5" ht="15">
      <c r="A45" t="s">
        <v>58</v>
      </c>
      <c r="B45" s="70" t="s">
        <v>65</v>
      </c>
      <c r="C45" t="s">
        <v>54</v>
      </c>
      <c r="D45" s="7" t="s">
        <v>31</v>
      </c>
      <c r="E45" s="64">
        <v>258000</v>
      </c>
    </row>
    <row r="46" spans="1:5" ht="15">
      <c r="A46" t="s">
        <v>58</v>
      </c>
      <c r="B46" s="70" t="s">
        <v>65</v>
      </c>
      <c r="C46" t="s">
        <v>54</v>
      </c>
      <c r="D46" s="7" t="s">
        <v>32</v>
      </c>
      <c r="E46" s="64">
        <v>12885510.303206701</v>
      </c>
    </row>
    <row r="47" spans="1:5">
      <c r="A47" t="s">
        <v>58</v>
      </c>
      <c r="B47" s="70" t="s">
        <v>65</v>
      </c>
      <c r="C47" t="s">
        <v>56</v>
      </c>
      <c r="D47" t="s">
        <v>36</v>
      </c>
      <c r="E47" s="64">
        <v>10107230</v>
      </c>
    </row>
    <row r="48" spans="1:5">
      <c r="A48" t="s">
        <v>58</v>
      </c>
      <c r="B48" s="70" t="s">
        <v>65</v>
      </c>
      <c r="C48" t="s">
        <v>56</v>
      </c>
      <c r="D48" t="s">
        <v>37</v>
      </c>
      <c r="E48" s="64">
        <v>14943713.063374517</v>
      </c>
    </row>
    <row r="49" spans="1:5">
      <c r="A49" t="s">
        <v>58</v>
      </c>
      <c r="B49" s="70" t="s">
        <v>65</v>
      </c>
      <c r="C49" t="s">
        <v>56</v>
      </c>
      <c r="D49" t="s">
        <v>38</v>
      </c>
      <c r="E49" s="64">
        <v>2407412</v>
      </c>
    </row>
    <row r="50" spans="1:5">
      <c r="A50" t="s">
        <v>58</v>
      </c>
      <c r="B50" s="70" t="s">
        <v>65</v>
      </c>
      <c r="C50" t="s">
        <v>47</v>
      </c>
      <c r="D50" t="s">
        <v>47</v>
      </c>
      <c r="E50" s="64">
        <v>9660000</v>
      </c>
    </row>
    <row r="51" spans="1:5">
      <c r="A51" t="s">
        <v>59</v>
      </c>
      <c r="B51" s="70" t="s">
        <v>65</v>
      </c>
      <c r="C51" t="s">
        <v>62</v>
      </c>
      <c r="D51" t="s">
        <v>18</v>
      </c>
      <c r="E51" s="64">
        <v>102063406.13333333</v>
      </c>
    </row>
    <row r="52" spans="1:5">
      <c r="A52" t="s">
        <v>59</v>
      </c>
      <c r="B52" s="70" t="s">
        <v>65</v>
      </c>
      <c r="C52" t="s">
        <v>62</v>
      </c>
      <c r="D52" t="s">
        <v>19</v>
      </c>
      <c r="E52" s="64">
        <v>696666.66666666674</v>
      </c>
    </row>
    <row r="53" spans="1:5">
      <c r="A53" t="s">
        <v>59</v>
      </c>
      <c r="B53" s="70" t="s">
        <v>65</v>
      </c>
      <c r="C53" t="s">
        <v>62</v>
      </c>
      <c r="D53" t="s">
        <v>20</v>
      </c>
      <c r="E53" s="71">
        <v>0</v>
      </c>
    </row>
    <row r="54" spans="1:5">
      <c r="A54" t="s">
        <v>59</v>
      </c>
      <c r="B54" s="70" t="s">
        <v>65</v>
      </c>
      <c r="C54" t="s">
        <v>63</v>
      </c>
      <c r="D54" t="s">
        <v>42</v>
      </c>
      <c r="E54" s="64">
        <v>1517804.5436399998</v>
      </c>
    </row>
    <row r="55" spans="1:5" ht="15">
      <c r="A55" t="s">
        <v>59</v>
      </c>
      <c r="B55" s="70" t="s">
        <v>65</v>
      </c>
      <c r="C55" t="s">
        <v>63</v>
      </c>
      <c r="D55" s="7" t="s">
        <v>44</v>
      </c>
      <c r="E55" s="64">
        <v>1666666.6666666667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40"/>
  <sheetViews>
    <sheetView workbookViewId="0">
      <selection activeCell="G14" sqref="G14"/>
    </sheetView>
  </sheetViews>
  <sheetFormatPr defaultRowHeight="13.8"/>
  <cols>
    <col min="3" max="3" width="24.59765625" bestFit="1" customWidth="1"/>
    <col min="4" max="4" width="5.8984375" bestFit="1" customWidth="1"/>
    <col min="5" max="5" width="13.3984375" customWidth="1"/>
  </cols>
  <sheetData>
    <row r="4" spans="3:5">
      <c r="C4" s="65" t="s">
        <v>66</v>
      </c>
      <c r="D4" s="65" t="s">
        <v>60</v>
      </c>
      <c r="E4" s="65" t="s">
        <v>17</v>
      </c>
    </row>
    <row r="5" spans="3:5">
      <c r="C5" s="66" t="s">
        <v>11</v>
      </c>
      <c r="D5" t="s">
        <v>61</v>
      </c>
      <c r="E5" s="72">
        <v>675049</v>
      </c>
    </row>
    <row r="6" spans="3:5">
      <c r="C6" s="66" t="s">
        <v>12</v>
      </c>
      <c r="D6" t="s">
        <v>61</v>
      </c>
      <c r="E6" s="72">
        <v>256820</v>
      </c>
    </row>
    <row r="7" spans="3:5">
      <c r="C7" s="66" t="s">
        <v>13</v>
      </c>
      <c r="D7" t="s">
        <v>61</v>
      </c>
      <c r="E7" s="72">
        <v>931869</v>
      </c>
    </row>
    <row r="8" spans="3:5">
      <c r="C8" s="66" t="s">
        <v>67</v>
      </c>
      <c r="D8" t="s">
        <v>61</v>
      </c>
      <c r="E8" s="72">
        <v>14.7576169611823</v>
      </c>
    </row>
    <row r="9" spans="3:5">
      <c r="C9" s="66" t="s">
        <v>21</v>
      </c>
      <c r="D9" t="s">
        <v>61</v>
      </c>
      <c r="E9" s="72">
        <v>127114540.3</v>
      </c>
    </row>
    <row r="10" spans="3:5">
      <c r="C10" s="66" t="s">
        <v>33</v>
      </c>
      <c r="D10" t="s">
        <v>61</v>
      </c>
      <c r="E10" s="72">
        <v>105124414.98140168</v>
      </c>
    </row>
    <row r="11" spans="3:5">
      <c r="C11" s="66" t="s">
        <v>34</v>
      </c>
      <c r="D11" t="s">
        <v>61</v>
      </c>
      <c r="E11" s="72">
        <v>21990125.318598315</v>
      </c>
    </row>
    <row r="12" spans="3:5">
      <c r="C12" s="66" t="s">
        <v>39</v>
      </c>
      <c r="D12" t="s">
        <v>61</v>
      </c>
      <c r="E12" s="72">
        <v>34070684.219903708</v>
      </c>
    </row>
    <row r="13" spans="3:5">
      <c r="C13" s="66" t="s">
        <v>40</v>
      </c>
      <c r="D13" t="s">
        <v>61</v>
      </c>
      <c r="E13" s="72">
        <v>-12080558.901305392</v>
      </c>
    </row>
    <row r="14" spans="3:5">
      <c r="C14" s="66" t="s">
        <v>45</v>
      </c>
      <c r="D14" t="s">
        <v>61</v>
      </c>
      <c r="E14" s="72">
        <v>3686445.2382466672</v>
      </c>
    </row>
    <row r="15" spans="3:5">
      <c r="C15" s="66" t="s">
        <v>46</v>
      </c>
      <c r="D15" t="s">
        <v>61</v>
      </c>
      <c r="E15" s="72">
        <v>-8394113.6630587243</v>
      </c>
    </row>
    <row r="16" spans="3:5">
      <c r="C16" s="66" t="s">
        <v>48</v>
      </c>
      <c r="D16" t="s">
        <v>61</v>
      </c>
      <c r="E16" s="72">
        <v>-18054113.663058724</v>
      </c>
    </row>
    <row r="17" spans="3:5">
      <c r="C17" s="68" t="s">
        <v>11</v>
      </c>
      <c r="D17" t="s">
        <v>64</v>
      </c>
      <c r="E17" s="72">
        <v>735495</v>
      </c>
    </row>
    <row r="18" spans="3:5">
      <c r="C18" s="68" t="s">
        <v>12</v>
      </c>
      <c r="D18" t="s">
        <v>64</v>
      </c>
      <c r="E18" s="72">
        <v>106114</v>
      </c>
    </row>
    <row r="19" spans="3:5">
      <c r="C19" s="68" t="s">
        <v>13</v>
      </c>
      <c r="D19" t="s">
        <v>64</v>
      </c>
      <c r="E19" s="72">
        <v>841609</v>
      </c>
    </row>
    <row r="20" spans="3:5">
      <c r="C20" s="68" t="s">
        <v>67</v>
      </c>
      <c r="D20" t="s">
        <v>64</v>
      </c>
      <c r="E20" s="72">
        <v>15.334645256882942</v>
      </c>
    </row>
    <row r="21" spans="3:5">
      <c r="C21" s="68" t="s">
        <v>21</v>
      </c>
      <c r="D21" t="s">
        <v>64</v>
      </c>
      <c r="E21" s="72">
        <v>119101884.91666663</v>
      </c>
    </row>
    <row r="22" spans="3:5">
      <c r="C22" s="68" t="s">
        <v>33</v>
      </c>
      <c r="D22" t="s">
        <v>64</v>
      </c>
      <c r="E22" s="72">
        <v>90807871.921110243</v>
      </c>
    </row>
    <row r="23" spans="3:5">
      <c r="C23" s="68" t="s">
        <v>34</v>
      </c>
      <c r="D23" t="s">
        <v>64</v>
      </c>
      <c r="E23" s="72">
        <v>28294012.995556384</v>
      </c>
    </row>
    <row r="24" spans="3:5" ht="15">
      <c r="C24" s="68" t="s">
        <v>39</v>
      </c>
      <c r="D24" t="s">
        <v>64</v>
      </c>
      <c r="E24" s="73">
        <v>33682365.683908693</v>
      </c>
    </row>
    <row r="25" spans="3:5">
      <c r="C25" s="68" t="s">
        <v>40</v>
      </c>
      <c r="D25" t="s">
        <v>64</v>
      </c>
      <c r="E25" s="72">
        <v>-5388352.6883523092</v>
      </c>
    </row>
    <row r="26" spans="3:5">
      <c r="C26" s="68" t="s">
        <v>45</v>
      </c>
      <c r="D26" t="s">
        <v>64</v>
      </c>
      <c r="E26" s="72">
        <v>3708976.784206667</v>
      </c>
    </row>
    <row r="27" spans="3:5">
      <c r="C27" s="68" t="s">
        <v>46</v>
      </c>
      <c r="D27" t="s">
        <v>64</v>
      </c>
      <c r="E27" s="72">
        <v>-1679375.9041456422</v>
      </c>
    </row>
    <row r="28" spans="3:5">
      <c r="C28" s="68" t="s">
        <v>48</v>
      </c>
      <c r="D28" t="s">
        <v>64</v>
      </c>
      <c r="E28" s="72">
        <v>-11339375.904145643</v>
      </c>
    </row>
    <row r="29" spans="3:5">
      <c r="C29" s="70" t="s">
        <v>11</v>
      </c>
      <c r="D29" t="s">
        <v>65</v>
      </c>
      <c r="E29" s="72">
        <v>708719</v>
      </c>
    </row>
    <row r="30" spans="3:5">
      <c r="C30" s="70" t="s">
        <v>12</v>
      </c>
      <c r="D30" t="s">
        <v>65</v>
      </c>
      <c r="E30" s="72">
        <v>50000</v>
      </c>
    </row>
    <row r="31" spans="3:5">
      <c r="C31" s="70" t="s">
        <v>13</v>
      </c>
      <c r="D31" t="s">
        <v>65</v>
      </c>
      <c r="E31" s="72">
        <v>758719</v>
      </c>
    </row>
    <row r="32" spans="3:5">
      <c r="C32" s="70" t="s">
        <v>67</v>
      </c>
      <c r="D32" t="s">
        <v>65</v>
      </c>
      <c r="E32" s="72">
        <v>14.6749847572026</v>
      </c>
    </row>
    <row r="33" spans="3:5">
      <c r="C33" s="70" t="s">
        <v>21</v>
      </c>
      <c r="D33" t="s">
        <v>65</v>
      </c>
      <c r="E33" s="72">
        <v>102760072.8</v>
      </c>
    </row>
    <row r="34" spans="3:5">
      <c r="C34" s="70" t="s">
        <v>33</v>
      </c>
      <c r="D34" t="s">
        <v>65</v>
      </c>
      <c r="E34" s="72">
        <v>86867265.403206691</v>
      </c>
    </row>
    <row r="35" spans="3:5">
      <c r="C35" s="70" t="s">
        <v>34</v>
      </c>
      <c r="D35" t="s">
        <v>65</v>
      </c>
      <c r="E35" s="72">
        <v>15892807.396793306</v>
      </c>
    </row>
    <row r="36" spans="3:5">
      <c r="C36" s="70" t="s">
        <v>39</v>
      </c>
      <c r="D36" t="s">
        <v>65</v>
      </c>
      <c r="E36" s="72">
        <v>27458355.063374519</v>
      </c>
    </row>
    <row r="37" spans="3:5">
      <c r="C37" s="70" t="s">
        <v>40</v>
      </c>
      <c r="D37" t="s">
        <v>65</v>
      </c>
      <c r="E37" s="72">
        <v>-11565547.666581213</v>
      </c>
    </row>
    <row r="38" spans="3:5">
      <c r="C38" s="70" t="s">
        <v>45</v>
      </c>
      <c r="D38" t="s">
        <v>65</v>
      </c>
      <c r="E38" s="72">
        <v>3184471.2103066668</v>
      </c>
    </row>
    <row r="39" spans="3:5">
      <c r="C39" s="70" t="s">
        <v>46</v>
      </c>
      <c r="D39" t="s">
        <v>65</v>
      </c>
      <c r="E39" s="72">
        <v>-8381076.4562745467</v>
      </c>
    </row>
    <row r="40" spans="3:5">
      <c r="C40" s="70" t="s">
        <v>48</v>
      </c>
      <c r="D40" t="s">
        <v>65</v>
      </c>
      <c r="E40" s="72">
        <v>-18041076.456274547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Bud.IS - garments</vt:lpstr>
      <vt:lpstr>Inc_exp</vt:lpstr>
      <vt:lpstr>summary</vt:lpstr>
      <vt:lpstr>'Bud.IS - garments'!Print_Area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Touhid</dc:creator>
  <cp:lastModifiedBy>acer</cp:lastModifiedBy>
  <dcterms:created xsi:type="dcterms:W3CDTF">2025-04-27T05:05:36Z</dcterms:created>
  <dcterms:modified xsi:type="dcterms:W3CDTF">2025-04-28T05:56:27Z</dcterms:modified>
</cp:coreProperties>
</file>